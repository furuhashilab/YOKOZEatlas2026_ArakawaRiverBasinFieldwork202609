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pData" sheetId="1" state="visible" r:id="rId1"/>
    <sheet xmlns:r="http://schemas.openxmlformats.org/officeDocument/2006/relationships" name="Source_Fieldwork" sheetId="2" state="visible" r:id="rId2"/>
    <sheet xmlns:r="http://schemas.openxmlformats.org/officeDocument/2006/relationships" name="Source_CfG" sheetId="3" state="visible" r:id="rId3"/>
    <sheet xmlns:r="http://schemas.openxmlformats.org/officeDocument/2006/relationships" name="Guide_QC" sheetId="4" state="visible" r:id="rId4"/>
  </sheets>
  <definedNames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yyyy-mm-dd"/>
    <numFmt numFmtId="166" formatCode="0.000000"/>
    <numFmt numFmtId="167" formatCode="0.0"/>
    <numFmt numFmtId="168" formatCode="0.0000"/>
  </numFmts>
  <fonts count="6">
    <font>
      <name val="Carlito"/>
      <sz val="11"/>
    </font>
    <font>
      <name val="Arial"/>
      <color rgb="FF1F2937"/>
      <sz val="10"/>
    </font>
    <font>
      <name val="Arial"/>
      <b val="1"/>
      <color rgb="FFFFFFFF"/>
      <sz val="10"/>
    </font>
    <font>
      <name val="Arial"/>
      <b val="1"/>
      <color rgb="FF1F4E78"/>
      <sz val="15"/>
    </font>
    <font>
      <name val="Arial"/>
      <i val="1"/>
      <color rgb="FF595959"/>
      <sz val="10"/>
    </font>
    <font>
      <name val="Arial"/>
      <b val="1"/>
      <color rgb="FF1F4E78"/>
      <sz val="10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5">
    <border/>
    <border>
      <right style="thin">
        <color rgb="FFFFFFFF"/>
      </right>
      <bottom style="medium">
        <color rgb="FFFFFFFF"/>
      </bottom>
    </border>
    <border>
      <left style="thin">
        <color rgb="FFFFFFFF"/>
      </left>
      <right style="thin">
        <color rgb="FFFFFFFF"/>
      </right>
      <bottom style="medium">
        <color rgb="FFFFFFFF"/>
      </bottom>
    </border>
    <border>
      <left style="thin">
        <color rgb="FFFFFFFF"/>
      </left>
      <bottom style="medium">
        <color rgb="FFFFFFFF"/>
      </bottom>
    </border>
    <border>
      <bottom style="thin">
        <color rgb="FFD9E2F3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2" fontId="1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1" fontId="1" fillId="0" borderId="0" pivotButton="0" quotePrefix="0" xfId="0"/>
    <xf numFmtId="0" fontId="1" fillId="0" borderId="4" pivotButton="0" quotePrefix="0" xfId="0"/>
    <xf numFmtId="1" fontId="1" fillId="0" borderId="4" pivotButton="0" quotePrefix="0" xfId="0"/>
    <xf numFmtId="0" fontId="0" fillId="3" borderId="0" pivotButton="0" quotePrefix="0" xfId="0"/>
    <xf numFmtId="0" fontId="5" fillId="3" borderId="0" pivotButton="0" quotePrefix="0" xfId="0"/>
    <xf numFmtId="0" fontId="1" fillId="0" borderId="0" applyAlignment="1" pivotButton="0" quotePrefix="0" xfId="0">
      <alignment/>
    </xf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167" fontId="1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2" fontId="1" fillId="0" borderId="0" applyAlignment="1" pivotButton="0" quotePrefix="0" xfId="0">
      <alignment vertical="center"/>
    </xf>
    <xf numFmtId="168" fontId="1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</cellXfs>
  <cellStyles count="1">
    <cellStyle name="Normal" xfId="0"/>
  </cellStyles>
  <dxfs count="2">
    <dxf>
      <font>
        <b val="1"/>
        <color rgb="FF9C0006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apDataTable" displayName="MapDataTable" ref="A1:AU21" headerRowCount="1" totalsRowCount="0" totalsRowShown="0">
  <autoFilter ref="A1:AV21"/>
  <tableColumns count="48">
    <tableColumn id="1" name="feature_id"/>
    <tableColumn id="2" name="name"/>
    <tableColumn id="3" name="feature_class"/>
    <tableColumn id="4" name="feature_type"/>
    <tableColumn id="5" name="has_water_measurement"/>
    <tableColumn id="6" name="observed_at"/>
    <tableColumn id="7" name="observed_date"/>
    <tableColumn id="8" name="longitude"/>
    <tableColumn id="9" name="latitude"/>
    <tableColumn id="10" name="wkt"/>
    <tableColumn id="11" name="address"/>
    <tableColumn id="12" name="municipality"/>
    <tableColumn id="13" name="in_yokoze_town"/>
    <tableColumn id="14" name="access_status"/>
    <tableColumn id="15" name="elevation_field_m"/>
    <tableColumn id="16" name="water_temp_field_c"/>
    <tableColumn id="17" name="conductivity_field_ms_m"/>
    <tableColumn id="18" name="conductivity_field_us_cm"/>
    <tableColumn id="19" name="ph_field"/>
    <tableColumn id="20" name="rph_field"/>
    <tableColumn id="21" name="ph_difference"/>
    <tableColumn id="22" name="remarks"/>
    <tableColumn id="23" name="cfg_matched"/>
    <tableColumn id="24" name="cfg_match_method"/>
    <tableColumn id="25" name="cfg_match_distance_m"/>
    <tableColumn id="26" name="cfg_observed_at"/>
    <tableColumn id="27" name="cfg_latitude"/>
    <tableColumn id="28" name="cfg_longitude"/>
    <tableColumn id="29" name="cfg_elevation_m"/>
    <tableColumn id="30" name="elevation_difference_m"/>
    <tableColumn id="31" name="nitrate_mg_l"/>
    <tableColumn id="32" name="nitrate_mv"/>
    <tableColumn id="33" name="water_temp_cfg_c"/>
    <tableColumn id="34" name="conductivity_cfg_us_cm"/>
    <tableColumn id="35" name="ph_cfg"/>
    <tableColumn id="36" name="ph_cfg_retest"/>
    <tableColumn id="37" name="orp_mv"/>
    <tableColumn id="38" name="weather"/>
    <tableColumn id="39" name="previous_weather"/>
    <tableColumn id="40" name="cfg_field_id"/>
    <tableColumn id="41" name="cfg_event_id"/>
    <tableColumn id="42" name="cfg_device_id"/>
    <tableColumn id="43" name="cfg_location_label"/>
    <tableColumn id="44" name="cfg_note"/>
    <tableColumn id="45" name="qc_flags"/>
    <tableColumn id="46" name="source_fieldwork_row"/>
    <tableColumn id="47" name="source_cfg_row"/>
    <tableColumn id="48" name="source_fi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eldworkSourceTable" displayName="FieldworkSourceTable" ref="A1:P21" headerRowCount="1" totalsRowCount="0" totalsRowShown="0">
  <autoFilter ref="A1:P21"/>
  <tableColumns count="16">
    <tableColumn id="1" name="source_row"/>
    <tableColumn id="2" name="latitude"/>
    <tableColumn id="3" name="longitude"/>
    <tableColumn id="4" name="observed_at"/>
    <tableColumn id="5" name="address"/>
    <tableColumn id="6" name="municipality"/>
    <tableColumn id="7" name="elevation_m"/>
    <tableColumn id="8" name="name_original"/>
    <tableColumn id="9" name="name_normalized"/>
    <tableColumn id="10" name="water_temp_c"/>
    <tableColumn id="11" name="ec_ms_m"/>
    <tableColumn id="12" name="conductivity_us_cm"/>
    <tableColumn id="13" name="ph"/>
    <tableColumn id="14" name="rph"/>
    <tableColumn id="15" name="ph_difference"/>
    <tableColumn id="16" name="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fgSourceTable" displayName="CfgSourceTable" ref="A1:T11" headerRowCount="1" totalsRowCount="0" totalsRowShown="0">
  <autoFilter ref="A1:T11"/>
  <tableColumns count="20">
    <tableColumn id="1" name="source_row"/>
    <tableColumn id="2" name="observed_at"/>
    <tableColumn id="3" name="field_id"/>
    <tableColumn id="4" name="event_id"/>
    <tableColumn id="5" name="observed_date"/>
    <tableColumn id="6" name="weather"/>
    <tableColumn id="7" name="previous_weather"/>
    <tableColumn id="8" name="device_id"/>
    <tableColumn id="9" name="latitude"/>
    <tableColumn id="10" name="longitude"/>
    <tableColumn id="11" name="elevation_m"/>
    <tableColumn id="12" name="nitrate_mg_l"/>
    <tableColumn id="13" name="nitrate_mv"/>
    <tableColumn id="14" name="water_temp_c"/>
    <tableColumn id="15" name="conductivity_us_cm"/>
    <tableColumn id="16" name="ph"/>
    <tableColumn id="17" name="ph_retest"/>
    <tableColumn id="18" name="orp_mv"/>
    <tableColumn id="19" name="location_label"/>
    <tableColumn id="20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AU21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22" customWidth="1" style="1" min="1" max="1"/>
    <col width="36" customWidth="1" style="1" min="2" max="2"/>
    <col width="22" customWidth="1" style="1" min="3" max="3"/>
    <col width="20" customWidth="1" style="1" min="4" max="4"/>
    <col width="18" customWidth="1" style="1" min="5" max="5"/>
    <col width="20" customWidth="1" style="1" min="6" max="6"/>
    <col width="13" customWidth="1" style="1" min="7" max="7"/>
    <col width="13" customWidth="1" style="1" min="8" max="8"/>
    <col width="13" customWidth="1" style="1" min="9" max="9"/>
    <col width="30" customWidth="1" style="1" min="10" max="10"/>
    <col width="30" customWidth="1" style="1" min="11" max="11"/>
    <col width="12" customWidth="1" style="1" min="12" max="12"/>
    <col width="15" customWidth="1" style="1" min="13" max="13"/>
    <col width="14" customWidth="1" style="1" min="14" max="14"/>
    <col width="16" customWidth="1" style="1" min="15" max="15"/>
    <col width="17" customWidth="1" style="1" min="16" max="16"/>
    <col width="22" customWidth="1" style="1" min="17" max="17"/>
    <col width="22" customWidth="1" style="1" min="18" max="18"/>
    <col width="12" customWidth="1" style="1" min="19" max="19"/>
    <col width="12" customWidth="1" style="1" min="20" max="20"/>
    <col width="14" customWidth="1" style="1" min="21" max="21"/>
    <col width="58" customWidth="1" style="1" min="22" max="22"/>
    <col width="13" customWidth="1" style="1" min="23" max="23"/>
    <col width="28" customWidth="1" style="1" min="24" max="24"/>
    <col width="20" customWidth="1" style="1" min="25" max="25"/>
    <col width="20" customWidth="1" style="1" min="26" max="26"/>
    <col width="13" customWidth="1" style="1" min="27" max="27"/>
    <col width="13" customWidth="1" style="1" min="28" max="28"/>
    <col width="16" customWidth="1" style="1" min="29" max="29"/>
    <col width="20" customWidth="1" style="1" min="30" max="30"/>
    <col width="15" customWidth="1" style="1" min="31" max="31"/>
    <col width="13" customWidth="1" style="1" min="32" max="32"/>
    <col width="17" customWidth="1" style="1" min="33" max="33"/>
    <col width="22" customWidth="1" style="1" min="34" max="34"/>
    <col width="12" customWidth="1" style="1" min="35" max="35"/>
    <col width="14" customWidth="1" style="1" min="36" max="36"/>
    <col width="12" customWidth="1" style="1" min="37" max="37"/>
    <col width="10" customWidth="1" style="1" min="38" max="38"/>
    <col width="14" customWidth="1" style="1" min="39" max="39"/>
    <col width="14" customWidth="1" style="1" min="40" max="40"/>
    <col width="14" customWidth="1" style="1" min="41" max="41"/>
    <col width="14" customWidth="1" style="1" min="42" max="42"/>
    <col width="26" customWidth="1" style="1" min="43" max="43"/>
    <col width="24" customWidth="1" style="1" min="44" max="44"/>
    <col width="52" customWidth="1" style="1" min="45" max="45"/>
    <col width="20" customWidth="1" style="1" min="46" max="46"/>
    <col width="16" customWidth="1" style="1" min="47" max="47"/>
    <col width="64" customWidth="1" style="1" min="48" max="48"/>
  </cols>
  <sheetData>
    <row r="1" ht="34" customHeight="1" s="1">
      <c r="A1" s="10" t="inlineStr">
        <is>
          <t>feature_id</t>
        </is>
      </c>
      <c r="B1" s="11" t="inlineStr">
        <is>
          <t>name</t>
        </is>
      </c>
      <c r="C1" s="11" t="inlineStr">
        <is>
          <t>feature_class</t>
        </is>
      </c>
      <c r="D1" s="11" t="inlineStr">
        <is>
          <t>feature_type</t>
        </is>
      </c>
      <c r="E1" s="11" t="inlineStr">
        <is>
          <t>has_water_measurement</t>
        </is>
      </c>
      <c r="F1" s="11" t="inlineStr">
        <is>
          <t>observed_at</t>
        </is>
      </c>
      <c r="G1" s="11" t="inlineStr">
        <is>
          <t>observed_date</t>
        </is>
      </c>
      <c r="H1" s="11" t="inlineStr">
        <is>
          <t>longitude</t>
        </is>
      </c>
      <c r="I1" s="11" t="inlineStr">
        <is>
          <t>latitude</t>
        </is>
      </c>
      <c r="J1" s="11" t="inlineStr">
        <is>
          <t>wkt</t>
        </is>
      </c>
      <c r="K1" s="11" t="inlineStr">
        <is>
          <t>address</t>
        </is>
      </c>
      <c r="L1" s="11" t="inlineStr">
        <is>
          <t>municipality</t>
        </is>
      </c>
      <c r="M1" s="11" t="inlineStr">
        <is>
          <t>in_yokoze_town</t>
        </is>
      </c>
      <c r="N1" s="11" t="inlineStr">
        <is>
          <t>access_status</t>
        </is>
      </c>
      <c r="O1" s="11" t="inlineStr">
        <is>
          <t>elevation_field_m</t>
        </is>
      </c>
      <c r="P1" s="11" t="inlineStr">
        <is>
          <t>water_temp_field_c</t>
        </is>
      </c>
      <c r="Q1" s="11" t="inlineStr">
        <is>
          <t>conductivity_field_ms_m</t>
        </is>
      </c>
      <c r="R1" s="11" t="inlineStr">
        <is>
          <t>ph_field</t>
        </is>
      </c>
      <c r="S1" s="11" t="inlineStr">
        <is>
          <t>rph_field</t>
        </is>
      </c>
      <c r="T1" s="11" t="inlineStr">
        <is>
          <t>ph_difference</t>
        </is>
      </c>
      <c r="U1" s="11" t="inlineStr">
        <is>
          <t>remarks</t>
        </is>
      </c>
      <c r="V1" s="11" t="inlineStr">
        <is>
          <t>cfg_matched</t>
        </is>
      </c>
      <c r="W1" s="11" t="inlineStr">
        <is>
          <t>cfg_match_method</t>
        </is>
      </c>
      <c r="X1" s="11" t="inlineStr">
        <is>
          <t>cfg_match_distance_m</t>
        </is>
      </c>
      <c r="Y1" s="11" t="inlineStr">
        <is>
          <t>cfg_observed_at</t>
        </is>
      </c>
      <c r="Z1" s="11" t="inlineStr">
        <is>
          <t>cfg_latitude</t>
        </is>
      </c>
      <c r="AA1" s="11" t="inlineStr">
        <is>
          <t>cfg_longitude</t>
        </is>
      </c>
      <c r="AB1" s="11" t="inlineStr">
        <is>
          <t>cfg_elevation_m</t>
        </is>
      </c>
      <c r="AC1" s="11" t="inlineStr">
        <is>
          <t>elevation_difference_m</t>
        </is>
      </c>
      <c r="AD1" s="11" t="inlineStr">
        <is>
          <t>nitrate_mg_l</t>
        </is>
      </c>
      <c r="AE1" s="11" t="inlineStr">
        <is>
          <t>nitrate_mv</t>
        </is>
      </c>
      <c r="AF1" s="11" t="inlineStr">
        <is>
          <t>water_temp_cfg_c</t>
        </is>
      </c>
      <c r="AG1" s="11" t="inlineStr">
        <is>
          <t>conductivity_cfg_ms_m</t>
        </is>
      </c>
      <c r="AH1" s="11" t="inlineStr">
        <is>
          <t>ph_cfg</t>
        </is>
      </c>
      <c r="AI1" s="11" t="inlineStr">
        <is>
          <t>ph_cfg_retest</t>
        </is>
      </c>
      <c r="AJ1" s="11" t="inlineStr">
        <is>
          <t>orp_mv</t>
        </is>
      </c>
      <c r="AK1" s="11" t="inlineStr">
        <is>
          <t>weather</t>
        </is>
      </c>
      <c r="AL1" s="11" t="inlineStr">
        <is>
          <t>previous_weather</t>
        </is>
      </c>
      <c r="AM1" s="11" t="inlineStr">
        <is>
          <t>cfg_field_id</t>
        </is>
      </c>
      <c r="AN1" s="11" t="inlineStr">
        <is>
          <t>cfg_event_id</t>
        </is>
      </c>
      <c r="AO1" s="11" t="inlineStr">
        <is>
          <t>cfg_device_id</t>
        </is>
      </c>
      <c r="AP1" s="11" t="inlineStr">
        <is>
          <t>cfg_location_label</t>
        </is>
      </c>
      <c r="AQ1" s="11" t="inlineStr">
        <is>
          <t>cfg_note</t>
        </is>
      </c>
      <c r="AR1" s="11" t="inlineStr">
        <is>
          <t>qc_flags</t>
        </is>
      </c>
      <c r="AS1" s="11" t="inlineStr">
        <is>
          <t>source_fieldwork_row</t>
        </is>
      </c>
      <c r="AT1" s="11" t="inlineStr">
        <is>
          <t>source_cfg_row</t>
        </is>
      </c>
      <c r="AU1" s="12" t="inlineStr">
        <is>
          <t>source_files</t>
        </is>
      </c>
    </row>
    <row r="2" ht="22" customHeight="1" s="1">
      <c r="A2" s="5" t="inlineStr">
        <is>
          <t>YKW-20260921-001</t>
        </is>
      </c>
      <c r="B2" s="5" t="inlineStr">
        <is>
          <t>雨水採水・測定</t>
        </is>
      </c>
      <c r="C2" s="5" t="inlineStr">
        <is>
          <t>water_quality_sample</t>
        </is>
      </c>
      <c r="D2" s="5" t="inlineStr">
        <is>
          <t>rainwater</t>
        </is>
      </c>
      <c r="E2" s="5" t="b">
        <v>1</v>
      </c>
      <c r="F2" s="40" t="n">
        <v>46286.58487268518</v>
      </c>
      <c r="G2" s="41" t="n">
        <v>46286</v>
      </c>
      <c r="H2" s="42" t="n">
        <v>139.102461</v>
      </c>
      <c r="I2" s="42" t="n">
        <v>35.986541</v>
      </c>
      <c r="J2" s="5" t="inlineStr">
        <is>
          <t>POINT (139.102461 35.986541)</t>
        </is>
      </c>
      <c r="K2" s="5" t="inlineStr">
        <is>
          <t>埼玉県横瀬町横瀬1926</t>
        </is>
      </c>
      <c r="L2" s="5" t="inlineStr">
        <is>
          <t>横瀬町</t>
        </is>
      </c>
      <c r="M2" s="5" t="b">
        <v>1</v>
      </c>
      <c r="N2" s="5" t="inlineStr">
        <is>
          <t>unknown</t>
        </is>
      </c>
      <c r="O2" s="43" t="n">
        <v>225.72</v>
      </c>
      <c r="P2" s="43" t="n">
        <v>22.3</v>
      </c>
      <c r="Q2" s="44" t="n">
        <v>1.193</v>
      </c>
      <c r="R2" s="44" t="n">
        <v>6.3</v>
      </c>
      <c r="S2" s="44" t="n">
        <v>6.3</v>
      </c>
      <c r="T2" s="44" t="n">
        <v>0</v>
      </c>
      <c r="U2" s="5" t="inlineStr">
        <is>
          <t>Area898周辺に降り注いだ雨水</t>
        </is>
      </c>
      <c r="V2" s="5" t="b">
        <v>0</v>
      </c>
      <c r="W2" s="5" t="str"/>
      <c r="X2" s="43" t="n"/>
      <c r="Y2" s="40" t="n"/>
      <c r="Z2" s="42" t="n"/>
      <c r="AA2" s="42" t="n"/>
      <c r="AB2" s="43" t="n"/>
      <c r="AC2" s="43" t="n"/>
      <c r="AD2" s="44" t="n"/>
      <c r="AE2" s="44" t="n"/>
      <c r="AF2" s="43" t="n"/>
      <c r="AG2" s="44" t="n"/>
      <c r="AH2" s="44" t="n"/>
      <c r="AI2" s="44" t="n"/>
      <c r="AJ2" s="44" t="n"/>
      <c r="AK2" s="5" t="str"/>
      <c r="AL2" s="5" t="str"/>
      <c r="AM2" s="5" t="str"/>
      <c r="AN2" s="5" t="str"/>
      <c r="AO2" s="5" t="str"/>
      <c r="AP2" s="5" t="str"/>
      <c r="AQ2" s="5" t="str"/>
      <c r="AR2" s="5" t="inlineStr">
        <is>
          <t>duplicate_coordinates_distinct_samples</t>
        </is>
      </c>
      <c r="AS2" s="5" t="n">
        <v>2</v>
      </c>
      <c r="AT2" s="5" t="n"/>
      <c r="AU2" s="5" t="inlineStr">
        <is>
          <t>2026.09.21-22_荒川流域圏構想フィールドワーク.xlsx</t>
        </is>
      </c>
    </row>
    <row r="3" ht="22" customHeight="1" s="1">
      <c r="A3" s="5" t="inlineStr">
        <is>
          <t>YKW-20260921-002</t>
        </is>
      </c>
      <c r="B3" s="5" t="inlineStr">
        <is>
          <t>知知夫瀧坂水神社 御神水測定</t>
        </is>
      </c>
      <c r="C3" s="5" t="inlineStr">
        <is>
          <t>water_quality_sample</t>
        </is>
      </c>
      <c r="D3" s="5" t="inlineStr">
        <is>
          <t>spring_water</t>
        </is>
      </c>
      <c r="E3" s="5" t="b">
        <v>1</v>
      </c>
      <c r="F3" s="40" t="n">
        <v>46286.58487268518</v>
      </c>
      <c r="G3" s="41" t="n">
        <v>46286</v>
      </c>
      <c r="H3" s="42" t="n">
        <v>139.102461</v>
      </c>
      <c r="I3" s="42" t="n">
        <v>35.986541</v>
      </c>
      <c r="J3" s="5" t="inlineStr">
        <is>
          <t>POINT (139.102461 35.986541)</t>
        </is>
      </c>
      <c r="K3" s="5" t="inlineStr">
        <is>
          <t>埼玉県横瀬町横瀬1926</t>
        </is>
      </c>
      <c r="L3" s="5" t="inlineStr">
        <is>
          <t>横瀬町</t>
        </is>
      </c>
      <c r="M3" s="5" t="b">
        <v>1</v>
      </c>
      <c r="N3" s="5" t="inlineStr">
        <is>
          <t>unknown</t>
        </is>
      </c>
      <c r="O3" s="43" t="n">
        <v>225.72</v>
      </c>
      <c r="P3" s="43" t="n">
        <v>16</v>
      </c>
      <c r="Q3" s="44" t="n">
        <v>19.7</v>
      </c>
      <c r="R3" s="44" t="n">
        <v>6.7</v>
      </c>
      <c r="S3" s="44" t="n">
        <v>7.1</v>
      </c>
      <c r="T3" s="44" t="n">
        <v>0.4</v>
      </c>
      <c r="U3" s="5" t="inlineStr">
        <is>
          <t>鈴賀さん採水の水</t>
        </is>
      </c>
      <c r="V3" s="5" t="b">
        <v>0</v>
      </c>
      <c r="W3" s="5" t="str"/>
      <c r="X3" s="43" t="n"/>
      <c r="Y3" s="40" t="n"/>
      <c r="Z3" s="42" t="n"/>
      <c r="AA3" s="42" t="n"/>
      <c r="AB3" s="43" t="n"/>
      <c r="AC3" s="43" t="n"/>
      <c r="AD3" s="44" t="n"/>
      <c r="AE3" s="44" t="n"/>
      <c r="AF3" s="43" t="n"/>
      <c r="AG3" s="44" t="n"/>
      <c r="AH3" s="44" t="n"/>
      <c r="AI3" s="44" t="n"/>
      <c r="AJ3" s="44" t="n"/>
      <c r="AK3" s="5" t="str"/>
      <c r="AL3" s="5" t="str"/>
      <c r="AM3" s="5" t="str"/>
      <c r="AN3" s="5" t="str"/>
      <c r="AO3" s="5" t="str"/>
      <c r="AP3" s="5" t="str"/>
      <c r="AQ3" s="5" t="str"/>
      <c r="AR3" s="5" t="inlineStr">
        <is>
          <t>duplicate_coordinates_distinct_samples</t>
        </is>
      </c>
      <c r="AS3" s="5" t="n">
        <v>3</v>
      </c>
      <c r="AT3" s="5" t="n"/>
      <c r="AU3" s="5" t="inlineStr">
        <is>
          <t>2026.09.21-22_荒川流域圏構想フィールドワーク.xlsx</t>
        </is>
      </c>
    </row>
    <row r="4" ht="22" customHeight="1" s="1">
      <c r="A4" s="5" t="inlineStr">
        <is>
          <t>YKW-20260921-003</t>
        </is>
      </c>
      <c r="B4" s="5" t="inlineStr">
        <is>
          <t>礫岩露頭</t>
        </is>
      </c>
      <c r="C4" s="5" t="inlineStr">
        <is>
          <t>other_observation</t>
        </is>
      </c>
      <c r="D4" s="5" t="inlineStr">
        <is>
          <t>geology</t>
        </is>
      </c>
      <c r="E4" s="5" t="b">
        <v>0</v>
      </c>
      <c r="F4" s="40" t="n">
        <v>46286.6177662037</v>
      </c>
      <c r="G4" s="41" t="n">
        <v>46286</v>
      </c>
      <c r="H4" s="42" t="n">
        <v>139.105341</v>
      </c>
      <c r="I4" s="42" t="n">
        <v>35.988683</v>
      </c>
      <c r="J4" s="5" t="inlineStr">
        <is>
          <t>POINT (139.105341 35.988683)</t>
        </is>
      </c>
      <c r="K4" s="5" t="inlineStr">
        <is>
          <t>埼玉県横瀬町横瀬1902-8</t>
        </is>
      </c>
      <c r="L4" s="5" t="inlineStr">
        <is>
          <t>横瀬町</t>
        </is>
      </c>
      <c r="M4" s="5" t="b">
        <v>1</v>
      </c>
      <c r="N4" s="5" t="inlineStr">
        <is>
          <t>unknown</t>
        </is>
      </c>
      <c r="O4" s="43" t="n">
        <v>230.65</v>
      </c>
      <c r="P4" s="43" t="n"/>
      <c r="Q4" s="44" t="n"/>
      <c r="R4" s="44" t="n"/>
      <c r="S4" s="44" t="n"/>
      <c r="T4" s="44" t="n"/>
      <c r="U4" s="5" t="str"/>
      <c r="V4" s="5" t="b">
        <v>0</v>
      </c>
      <c r="W4" s="5" t="str"/>
      <c r="X4" s="43" t="n"/>
      <c r="Y4" s="40" t="n"/>
      <c r="Z4" s="42" t="n"/>
      <c r="AA4" s="42" t="n"/>
      <c r="AB4" s="43" t="n"/>
      <c r="AC4" s="43" t="n"/>
      <c r="AD4" s="44" t="n"/>
      <c r="AE4" s="44" t="n"/>
      <c r="AF4" s="43" t="n"/>
      <c r="AG4" s="44" t="n"/>
      <c r="AH4" s="44" t="n"/>
      <c r="AI4" s="44" t="n"/>
      <c r="AJ4" s="44" t="n"/>
      <c r="AK4" s="5" t="str"/>
      <c r="AL4" s="5" t="str"/>
      <c r="AM4" s="5" t="str"/>
      <c r="AN4" s="5" t="str"/>
      <c r="AO4" s="5" t="str"/>
      <c r="AP4" s="5" t="str"/>
      <c r="AQ4" s="5" t="str"/>
      <c r="AR4" s="5" t="inlineStr">
        <is>
          <t>no_water_measurement</t>
        </is>
      </c>
      <c r="AS4" s="5" t="n">
        <v>4</v>
      </c>
      <c r="AT4" s="5" t="n"/>
      <c r="AU4" s="5" t="inlineStr">
        <is>
          <t>2026.09.21-22_荒川流域圏構想フィールドワーク.xlsx</t>
        </is>
      </c>
    </row>
    <row r="5" ht="22" customHeight="1" s="1">
      <c r="A5" s="5" t="inlineStr">
        <is>
          <t>YKW-20260921-004</t>
        </is>
      </c>
      <c r="B5" s="5" t="inlineStr">
        <is>
          <t>森側 モミの木</t>
        </is>
      </c>
      <c r="C5" s="5" t="inlineStr">
        <is>
          <t>other_observation</t>
        </is>
      </c>
      <c r="D5" s="5" t="inlineStr">
        <is>
          <t>vegetation</t>
        </is>
      </c>
      <c r="E5" s="5" t="b">
        <v>0</v>
      </c>
      <c r="F5" s="40" t="n">
        <v>46286.62077546296</v>
      </c>
      <c r="G5" s="41" t="n">
        <v>46286</v>
      </c>
      <c r="H5" s="42" t="n">
        <v>139.105161</v>
      </c>
      <c r="I5" s="42" t="n">
        <v>35.988763</v>
      </c>
      <c r="J5" s="5" t="inlineStr">
        <is>
          <t>POINT (139.105161 35.988763)</t>
        </is>
      </c>
      <c r="K5" s="5" t="inlineStr">
        <is>
          <t>埼玉県横瀬町横瀬1902-8</t>
        </is>
      </c>
      <c r="L5" s="5" t="inlineStr">
        <is>
          <t>横瀬町</t>
        </is>
      </c>
      <c r="M5" s="5" t="b">
        <v>1</v>
      </c>
      <c r="N5" s="5" t="inlineStr">
        <is>
          <t>unknown</t>
        </is>
      </c>
      <c r="O5" s="43" t="n">
        <v>223.25</v>
      </c>
      <c r="P5" s="43" t="n"/>
      <c r="Q5" s="44" t="n"/>
      <c r="R5" s="44" t="n"/>
      <c r="S5" s="44" t="n"/>
      <c r="T5" s="44" t="n"/>
      <c r="U5" s="5" t="str"/>
      <c r="V5" s="5" t="b">
        <v>0</v>
      </c>
      <c r="W5" s="5" t="str"/>
      <c r="X5" s="43" t="n"/>
      <c r="Y5" s="40" t="n"/>
      <c r="Z5" s="42" t="n"/>
      <c r="AA5" s="42" t="n"/>
      <c r="AB5" s="43" t="n"/>
      <c r="AC5" s="43" t="n"/>
      <c r="AD5" s="44" t="n"/>
      <c r="AE5" s="44" t="n"/>
      <c r="AF5" s="43" t="n"/>
      <c r="AG5" s="44" t="n"/>
      <c r="AH5" s="44" t="n"/>
      <c r="AI5" s="44" t="n"/>
      <c r="AJ5" s="44" t="n"/>
      <c r="AK5" s="5" t="str"/>
      <c r="AL5" s="5" t="str"/>
      <c r="AM5" s="5" t="str"/>
      <c r="AN5" s="5" t="str"/>
      <c r="AO5" s="5" t="str"/>
      <c r="AP5" s="5" t="str"/>
      <c r="AQ5" s="5" t="str"/>
      <c r="AR5" s="5" t="inlineStr">
        <is>
          <t>no_water_measurement</t>
        </is>
      </c>
      <c r="AS5" s="5" t="n">
        <v>5</v>
      </c>
      <c r="AT5" s="5" t="n"/>
      <c r="AU5" s="5" t="inlineStr">
        <is>
          <t>2026.09.21-22_荒川流域圏構想フィールドワーク.xlsx</t>
        </is>
      </c>
    </row>
    <row r="6" ht="22" customHeight="1" s="1">
      <c r="A6" s="5" t="inlineStr">
        <is>
          <t>YKW-20260921-005</t>
        </is>
      </c>
      <c r="B6" s="5" t="inlineStr">
        <is>
          <t>森側 斜面端部の湧水</t>
        </is>
      </c>
      <c r="C6" s="5" t="inlineStr">
        <is>
          <t>water_quality_sample</t>
        </is>
      </c>
      <c r="D6" s="5" t="inlineStr">
        <is>
          <t>spring_water</t>
        </is>
      </c>
      <c r="E6" s="5" t="b">
        <v>1</v>
      </c>
      <c r="F6" s="40" t="n">
        <v>46286.63423611111</v>
      </c>
      <c r="G6" s="41" t="n">
        <v>46286</v>
      </c>
      <c r="H6" s="42" t="n">
        <v>139.105233</v>
      </c>
      <c r="I6" s="42" t="n">
        <v>35.988827</v>
      </c>
      <c r="J6" s="5" t="inlineStr">
        <is>
          <t>POINT (139.105233 35.988827)</t>
        </is>
      </c>
      <c r="K6" s="5" t="inlineStr">
        <is>
          <t>埼玉県横瀬町横瀬1865-6</t>
        </is>
      </c>
      <c r="L6" s="5" t="inlineStr">
        <is>
          <t>横瀬町</t>
        </is>
      </c>
      <c r="M6" s="5" t="b">
        <v>1</v>
      </c>
      <c r="N6" s="5" t="inlineStr">
        <is>
          <t>unknown</t>
        </is>
      </c>
      <c r="O6" s="43" t="n">
        <v>223.03</v>
      </c>
      <c r="P6" s="43" t="n">
        <v>19.4</v>
      </c>
      <c r="Q6" s="44" t="n">
        <v>21.8</v>
      </c>
      <c r="R6" s="44" t="n">
        <v>6.9</v>
      </c>
      <c r="S6" s="44" t="n">
        <v>7.2</v>
      </c>
      <c r="T6" s="44" t="n">
        <v>0.3</v>
      </c>
      <c r="U6" s="5" t="inlineStr">
        <is>
          <t>サーモグラフィーカメラで見つけた水たまり</t>
        </is>
      </c>
      <c r="V6" s="5" t="b">
        <v>0</v>
      </c>
      <c r="W6" s="5" t="str"/>
      <c r="X6" s="43" t="n"/>
      <c r="Y6" s="40" t="n"/>
      <c r="Z6" s="42" t="n"/>
      <c r="AA6" s="42" t="n"/>
      <c r="AB6" s="43" t="n"/>
      <c r="AC6" s="43" t="n"/>
      <c r="AD6" s="44" t="n"/>
      <c r="AE6" s="44" t="n"/>
      <c r="AF6" s="43" t="n"/>
      <c r="AG6" s="44" t="n"/>
      <c r="AH6" s="44" t="n"/>
      <c r="AI6" s="44" t="n"/>
      <c r="AJ6" s="44" t="n"/>
      <c r="AK6" s="5" t="str"/>
      <c r="AL6" s="5" t="str"/>
      <c r="AM6" s="5" t="str"/>
      <c r="AN6" s="5" t="str"/>
      <c r="AO6" s="5" t="str"/>
      <c r="AP6" s="5" t="str"/>
      <c r="AQ6" s="5" t="str"/>
      <c r="AR6" s="5" t="str"/>
      <c r="AS6" s="5" t="n">
        <v>6</v>
      </c>
      <c r="AT6" s="5" t="n"/>
      <c r="AU6" s="5" t="inlineStr">
        <is>
          <t>2026.09.21-22_荒川流域圏構想フィールドワーク.xlsx</t>
        </is>
      </c>
    </row>
    <row r="7" ht="22" customHeight="1" s="1">
      <c r="A7" s="5" t="inlineStr">
        <is>
          <t>YKW-20260922-006</t>
        </is>
      </c>
      <c r="B7" s="5" t="inlineStr">
        <is>
          <t>道の駅 ちちぶの水</t>
        </is>
      </c>
      <c r="C7" s="5" t="inlineStr">
        <is>
          <t>water_quality_sample</t>
        </is>
      </c>
      <c r="D7" s="5" t="inlineStr">
        <is>
          <t>tap_water</t>
        </is>
      </c>
      <c r="E7" s="5" t="b">
        <v>1</v>
      </c>
      <c r="F7" s="40" t="n">
        <v>46287.42047453704</v>
      </c>
      <c r="G7" s="41" t="n">
        <v>46287</v>
      </c>
      <c r="H7" s="42" t="n">
        <v>139.089245</v>
      </c>
      <c r="I7" s="42" t="n">
        <v>35.997766</v>
      </c>
      <c r="J7" s="5" t="inlineStr">
        <is>
          <t>POINT (139.089245 35.997766)</t>
        </is>
      </c>
      <c r="K7" s="5" t="inlineStr">
        <is>
          <t>埼玉県秩父市大宮4625</t>
        </is>
      </c>
      <c r="L7" s="5" t="inlineStr">
        <is>
          <t>秩父市</t>
        </is>
      </c>
      <c r="M7" s="5" t="b">
        <v>0</v>
      </c>
      <c r="N7" s="5" t="inlineStr">
        <is>
          <t>unknown</t>
        </is>
      </c>
      <c r="O7" s="43" t="n">
        <v>230.09</v>
      </c>
      <c r="P7" s="43" t="n">
        <v>18.2</v>
      </c>
      <c r="Q7" s="44" t="n">
        <v>12.02</v>
      </c>
      <c r="R7" s="44" t="n">
        <v>7.3</v>
      </c>
      <c r="S7" s="44" t="n">
        <v>7.4</v>
      </c>
      <c r="T7" s="44" t="n">
        <v>0.1</v>
      </c>
      <c r="U7" s="5" t="inlineStr">
        <is>
          <t>橋立浄水場から引いた水道水</t>
        </is>
      </c>
      <c r="V7" s="5" t="b">
        <v>1</v>
      </c>
      <c r="W7" s="5" t="inlineStr">
        <is>
          <t>name_time_spatial_reviewed</t>
        </is>
      </c>
      <c r="X7" s="43" t="n">
        <v>63.8</v>
      </c>
      <c r="Y7" s="40" t="n">
        <v>46287.41974537037</v>
      </c>
      <c r="Z7" s="42" t="n">
        <v>35.997339</v>
      </c>
      <c r="AA7" s="42" t="n">
        <v>139.088772</v>
      </c>
      <c r="AB7" s="43" t="n">
        <v>274.4</v>
      </c>
      <c r="AC7" s="43" t="n">
        <v>44.3</v>
      </c>
      <c r="AD7" s="44" t="n">
        <v>4.762</v>
      </c>
      <c r="AE7" s="44" t="n">
        <v>103</v>
      </c>
      <c r="AF7" s="43" t="n">
        <v>24</v>
      </c>
      <c r="AG7" s="45" t="n">
        <v>12.9</v>
      </c>
      <c r="AH7" s="44" t="n">
        <v>7.77</v>
      </c>
      <c r="AI7" s="44" t="n"/>
      <c r="AJ7" s="44" t="n">
        <v>258</v>
      </c>
      <c r="AK7" s="5" t="inlineStr">
        <is>
          <t>晴れ</t>
        </is>
      </c>
      <c r="AL7" s="5" t="inlineStr">
        <is>
          <t>雨</t>
        </is>
      </c>
      <c r="AM7" s="5" t="inlineStr">
        <is>
          <t>Yokoze</t>
        </is>
      </c>
      <c r="AN7" s="5" t="inlineStr">
        <is>
          <t>20260922</t>
        </is>
      </c>
      <c r="AO7" s="5" t="inlineStr">
        <is>
          <t>115</t>
        </is>
      </c>
      <c r="AP7" s="5" t="inlineStr">
        <is>
          <t>ちちぶの水</t>
        </is>
      </c>
      <c r="AQ7" s="5" t="str"/>
      <c r="AR7" s="5" t="inlineStr">
        <is>
          <t>outside_yokoze_town; cfg_match_distance_gt_50m; elevation_difference_gt_20m</t>
        </is>
      </c>
      <c r="AS7" s="5" t="n">
        <v>7</v>
      </c>
      <c r="AT7" s="5" t="n">
        <v>2</v>
      </c>
      <c r="AU7" s="5" t="inlineStr">
        <is>
          <t>2026.09.21-22_荒川流域圏構想フィールドワーク.xlsx; Code for Ground データソン.xlsx</t>
        </is>
      </c>
    </row>
    <row r="8" ht="22" customHeight="1" s="1">
      <c r="A8" s="5" t="inlineStr">
        <is>
          <t>YKW-20260922-007</t>
        </is>
      </c>
      <c r="B8" s="5" t="inlineStr">
        <is>
          <t>秩父神社 乾の井戸</t>
        </is>
      </c>
      <c r="C8" s="5" t="inlineStr">
        <is>
          <t>water_quality_sample</t>
        </is>
      </c>
      <c r="D8" s="5" t="inlineStr">
        <is>
          <t>well</t>
        </is>
      </c>
      <c r="E8" s="5" t="b">
        <v>1</v>
      </c>
      <c r="F8" s="40" t="n">
        <v>46287.43890046296</v>
      </c>
      <c r="G8" s="41" t="n">
        <v>46287</v>
      </c>
      <c r="H8" s="42" t="n">
        <v>139.083875</v>
      </c>
      <c r="I8" s="42" t="n">
        <v>35.997807</v>
      </c>
      <c r="J8" s="5" t="inlineStr">
        <is>
          <t>POINT (139.083875 35.997807)</t>
        </is>
      </c>
      <c r="K8" s="5" t="inlineStr">
        <is>
          <t>埼玉県秩父市番場町1-23</t>
        </is>
      </c>
      <c r="L8" s="5" t="inlineStr">
        <is>
          <t>秩父市</t>
        </is>
      </c>
      <c r="M8" s="5" t="b">
        <v>0</v>
      </c>
      <c r="N8" s="5" t="inlineStr">
        <is>
          <t>unknown</t>
        </is>
      </c>
      <c r="O8" s="43" t="n">
        <v>226.59</v>
      </c>
      <c r="P8" s="43" t="n">
        <v>22.3</v>
      </c>
      <c r="Q8" s="44" t="n">
        <v>17.48</v>
      </c>
      <c r="R8" s="44" t="n">
        <v>6.2</v>
      </c>
      <c r="S8" s="44" t="n">
        <v>7.2</v>
      </c>
      <c r="T8" s="44" t="n">
        <v>1</v>
      </c>
      <c r="U8" s="5" t="inlineStr">
        <is>
          <t>境内裏手の柞（ははそのもり）の森にある、決して枯れないとされる浅井戸。手押しポンプ稼働時間が少ないため、水温は参考値。</t>
        </is>
      </c>
      <c r="V8" s="5" t="b">
        <v>1</v>
      </c>
      <c r="W8" s="5" t="inlineStr">
        <is>
          <t>name_time_spatial_reviewed</t>
        </is>
      </c>
      <c r="X8" s="43" t="n">
        <v>90.90000000000001</v>
      </c>
      <c r="Y8" s="40" t="n">
        <v>46287.43873842592</v>
      </c>
      <c r="Z8" s="42" t="n">
        <v>35.998611</v>
      </c>
      <c r="AA8" s="42" t="n">
        <v>139.084059</v>
      </c>
      <c r="AB8" s="43" t="n">
        <v>268.5</v>
      </c>
      <c r="AC8" s="43" t="n">
        <v>41.9</v>
      </c>
      <c r="AD8" s="44" t="n">
        <v>4.85</v>
      </c>
      <c r="AE8" s="44" t="n">
        <v>103</v>
      </c>
      <c r="AF8" s="43" t="n">
        <v>25.3</v>
      </c>
      <c r="AG8" s="45" t="n">
        <v>18.9</v>
      </c>
      <c r="AH8" s="44" t="n">
        <v>7.11</v>
      </c>
      <c r="AI8" s="44" t="n"/>
      <c r="AJ8" s="44" t="n">
        <v>270</v>
      </c>
      <c r="AK8" s="5" t="inlineStr">
        <is>
          <t>晴れ</t>
        </is>
      </c>
      <c r="AL8" s="5" t="inlineStr">
        <is>
          <t>雨</t>
        </is>
      </c>
      <c r="AM8" s="5" t="inlineStr">
        <is>
          <t>Yokoze</t>
        </is>
      </c>
      <c r="AN8" s="5" t="inlineStr">
        <is>
          <t>20260922</t>
        </is>
      </c>
      <c r="AO8" s="5" t="inlineStr">
        <is>
          <t>115</t>
        </is>
      </c>
      <c r="AP8" s="5" t="inlineStr">
        <is>
          <t>秩父神社 乾の井戸</t>
        </is>
      </c>
      <c r="AQ8" s="5" t="str"/>
      <c r="AR8" s="5" t="inlineStr">
        <is>
          <t>outside_yokoze_town; cfg_match_distance_gt_50m; elevation_difference_gt_20m</t>
        </is>
      </c>
      <c r="AS8" s="5" t="n">
        <v>8</v>
      </c>
      <c r="AT8" s="5" t="n">
        <v>3</v>
      </c>
      <c r="AU8" s="5" t="inlineStr">
        <is>
          <t>2026.09.21-22_荒川流域圏構想フィールドワーク.xlsx; Code for Ground データソン.xlsx</t>
        </is>
      </c>
    </row>
    <row r="9" ht="22" customHeight="1" s="1">
      <c r="A9" s="5" t="inlineStr">
        <is>
          <t>YKW-20260922-008</t>
        </is>
      </c>
      <c r="B9" s="5" t="inlineStr">
        <is>
          <t>妙見七つ井戸 七の井戸（今重の井戸）</t>
        </is>
      </c>
      <c r="C9" s="5" t="inlineStr">
        <is>
          <t>water_quality_sample</t>
        </is>
      </c>
      <c r="D9" s="5" t="inlineStr">
        <is>
          <t>well</t>
        </is>
      </c>
      <c r="E9" s="5" t="b">
        <v>1</v>
      </c>
      <c r="F9" s="40" t="n">
        <v>46287.45016203704</v>
      </c>
      <c r="G9" s="41" t="n">
        <v>46287</v>
      </c>
      <c r="H9" s="42" t="n">
        <v>139.088746</v>
      </c>
      <c r="I9" s="42" t="n">
        <v>36.001536</v>
      </c>
      <c r="J9" s="5" t="inlineStr">
        <is>
          <t>POINT (139.088746 36.001536)</t>
        </is>
      </c>
      <c r="K9" s="5" t="inlineStr">
        <is>
          <t>埼玉県秩父市上宮地町17-23</t>
        </is>
      </c>
      <c r="L9" s="5" t="inlineStr">
        <is>
          <t>秩父市</t>
        </is>
      </c>
      <c r="M9" s="5" t="b">
        <v>0</v>
      </c>
      <c r="N9" s="5" t="inlineStr">
        <is>
          <t>unknown</t>
        </is>
      </c>
      <c r="O9" s="43" t="n">
        <v>223.23</v>
      </c>
      <c r="P9" s="43" t="n">
        <v>20.6</v>
      </c>
      <c r="Q9" s="44" t="n">
        <v>29.4</v>
      </c>
      <c r="R9" s="44" t="n">
        <v>6.9</v>
      </c>
      <c r="S9" s="44" t="n">
        <v>7.3</v>
      </c>
      <c r="T9" s="44" t="n">
        <v>0.4</v>
      </c>
      <c r="U9" s="5" t="inlineStr">
        <is>
          <t>妙見菩薩が秩父神社に合祀された際、宮地の妙見宮から秩父神社まで渡っていったとされる七つ井戸（北斗七星になぞらえた）。
かつては豊富な湧水があり主に「染め糸のすすぎ」などの作業に使われていた。</t>
        </is>
      </c>
      <c r="V9" s="5" t="b">
        <v>1</v>
      </c>
      <c r="W9" s="5" t="inlineStr">
        <is>
          <t>name_time_spatial</t>
        </is>
      </c>
      <c r="X9" s="43" t="n">
        <v>44.7</v>
      </c>
      <c r="Y9" s="40" t="n">
        <v>46287.45556712963</v>
      </c>
      <c r="Z9" s="42" t="n">
        <v>36.001928</v>
      </c>
      <c r="AA9" s="42" t="n">
        <v>139.088857</v>
      </c>
      <c r="AB9" s="43" t="n">
        <v>268.2</v>
      </c>
      <c r="AC9" s="43" t="n">
        <v>45</v>
      </c>
      <c r="AD9" s="44" t="n">
        <v>29.778</v>
      </c>
      <c r="AE9" s="44" t="n">
        <v>79</v>
      </c>
      <c r="AF9" s="43" t="n">
        <v>26.4</v>
      </c>
      <c r="AG9" s="45" t="n">
        <v>31.3</v>
      </c>
      <c r="AH9" s="44" t="n">
        <v>7.2</v>
      </c>
      <c r="AI9" s="44" t="n"/>
      <c r="AJ9" s="44" t="n">
        <v>283</v>
      </c>
      <c r="AK9" s="5" t="inlineStr">
        <is>
          <t>晴れ</t>
        </is>
      </c>
      <c r="AL9" s="5" t="inlineStr">
        <is>
          <t>雨</t>
        </is>
      </c>
      <c r="AM9" s="5" t="inlineStr">
        <is>
          <t>Yokoze</t>
        </is>
      </c>
      <c r="AN9" s="5" t="inlineStr">
        <is>
          <t>20260922</t>
        </is>
      </c>
      <c r="AO9" s="5" t="inlineStr">
        <is>
          <t>115</t>
        </is>
      </c>
      <c r="AP9" s="5" t="inlineStr">
        <is>
          <t>妙見七の井戸</t>
        </is>
      </c>
      <c r="AQ9" s="5" t="str"/>
      <c r="AR9" s="5" t="inlineStr">
        <is>
          <t>outside_yokoze_town; elevation_difference_gt_20m</t>
        </is>
      </c>
      <c r="AS9" s="5" t="n">
        <v>9</v>
      </c>
      <c r="AT9" s="5" t="n">
        <v>4</v>
      </c>
      <c r="AU9" s="5" t="inlineStr">
        <is>
          <t>2026.09.21-22_荒川流域圏構想フィールドワーク.xlsx; Code for Ground データソン.xlsx</t>
        </is>
      </c>
    </row>
    <row r="10" ht="22" customHeight="1" s="1">
      <c r="A10" s="5" t="inlineStr">
        <is>
          <t>YKW-20260922-009</t>
        </is>
      </c>
      <c r="B10" s="5" t="inlineStr">
        <is>
          <t>妙見七つ井戸 六の井戸（みざわの井戸）</t>
        </is>
      </c>
      <c r="C10" s="5" t="inlineStr">
        <is>
          <t>water_feature</t>
        </is>
      </c>
      <c r="D10" s="5" t="inlineStr">
        <is>
          <t>spring_pond</t>
        </is>
      </c>
      <c r="E10" s="5" t="b">
        <v>0</v>
      </c>
      <c r="F10" s="40" t="n">
        <v>46287.46030092592</v>
      </c>
      <c r="G10" s="41" t="n">
        <v>46287</v>
      </c>
      <c r="H10" s="42" t="n">
        <v>139.088855</v>
      </c>
      <c r="I10" s="42" t="n">
        <v>36.003302</v>
      </c>
      <c r="J10" s="5" t="inlineStr">
        <is>
          <t>POINT (139.088855 36.003302)</t>
        </is>
      </c>
      <c r="K10" s="5" t="inlineStr">
        <is>
          <t>埼玉県秩父市上宮地町15-10</t>
        </is>
      </c>
      <c r="L10" s="5" t="inlineStr">
        <is>
          <t>秩父市</t>
        </is>
      </c>
      <c r="M10" s="5" t="b">
        <v>0</v>
      </c>
      <c r="N10" s="5" t="inlineStr">
        <is>
          <t>private</t>
        </is>
      </c>
      <c r="O10" s="43" t="n">
        <v>222.17</v>
      </c>
      <c r="P10" s="43" t="n"/>
      <c r="Q10" s="44" t="n"/>
      <c r="R10" s="44" t="n"/>
      <c r="S10" s="44" t="n"/>
      <c r="T10" s="44" t="n"/>
      <c r="U10" s="5" t="inlineStr">
        <is>
          <t>個人宅（農家）の敷地内（私有地）にあり、クレソンが自生する湧水池。水量は豊富でトンボの産卵場になっている。</t>
        </is>
      </c>
      <c r="V10" s="5" t="b">
        <v>0</v>
      </c>
      <c r="W10" s="5" t="str"/>
      <c r="X10" s="43" t="n"/>
      <c r="Y10" s="40" t="n"/>
      <c r="Z10" s="42" t="n"/>
      <c r="AA10" s="42" t="n"/>
      <c r="AB10" s="43" t="n"/>
      <c r="AC10" s="43" t="n"/>
      <c r="AD10" s="44" t="n"/>
      <c r="AE10" s="44" t="n"/>
      <c r="AF10" s="43" t="n"/>
      <c r="AG10" s="44" t="n"/>
      <c r="AH10" s="44" t="n"/>
      <c r="AI10" s="44" t="n"/>
      <c r="AJ10" s="44" t="n"/>
      <c r="AK10" s="5" t="str"/>
      <c r="AL10" s="5" t="str"/>
      <c r="AM10" s="5" t="str"/>
      <c r="AN10" s="5" t="str"/>
      <c r="AO10" s="5" t="str"/>
      <c r="AP10" s="5" t="str"/>
      <c r="AQ10" s="5" t="str"/>
      <c r="AR10" s="5" t="inlineStr">
        <is>
          <t>outside_yokoze_town; no_water_measurement</t>
        </is>
      </c>
      <c r="AS10" s="5" t="n">
        <v>10</v>
      </c>
      <c r="AT10" s="5" t="n"/>
      <c r="AU10" s="5" t="inlineStr">
        <is>
          <t>2026.09.21-22_荒川流域圏構想フィールドワーク.xlsx</t>
        </is>
      </c>
    </row>
    <row r="11" ht="22" customHeight="1" s="1">
      <c r="A11" s="5" t="inlineStr">
        <is>
          <t>YKW-20260922-010</t>
        </is>
      </c>
      <c r="B11" s="5" t="inlineStr">
        <is>
          <t>湧水池</t>
        </is>
      </c>
      <c r="C11" s="5" t="inlineStr">
        <is>
          <t>water_feature</t>
        </is>
      </c>
      <c r="D11" s="5" t="inlineStr">
        <is>
          <t>spring_pond</t>
        </is>
      </c>
      <c r="E11" s="5" t="b">
        <v>0</v>
      </c>
      <c r="F11" s="40" t="n">
        <v>46287.4652199074</v>
      </c>
      <c r="G11" s="41" t="n">
        <v>46287</v>
      </c>
      <c r="H11" s="42" t="n">
        <v>139.089435</v>
      </c>
      <c r="I11" s="42" t="n">
        <v>36.004209</v>
      </c>
      <c r="J11" s="5" t="inlineStr">
        <is>
          <t>POINT (139.089435 36.004209)</t>
        </is>
      </c>
      <c r="K11" s="5" t="inlineStr">
        <is>
          <t>埼玉県秩父市中宮地町3</t>
        </is>
      </c>
      <c r="L11" s="5" t="inlineStr">
        <is>
          <t>秩父市</t>
        </is>
      </c>
      <c r="M11" s="5" t="b">
        <v>0</v>
      </c>
      <c r="N11" s="5" t="inlineStr">
        <is>
          <t>no_entry</t>
        </is>
      </c>
      <c r="O11" s="43" t="n">
        <v>221.79</v>
      </c>
      <c r="P11" s="43" t="n"/>
      <c r="Q11" s="44" t="n"/>
      <c r="R11" s="44" t="n"/>
      <c r="S11" s="44" t="n"/>
      <c r="T11" s="44" t="n"/>
      <c r="U11" s="5" t="inlineStr">
        <is>
          <t>段丘の低崖付近にあり、住宅地の一角にある祠が祀られた湧水池。フェンスで囲まれており立入りできない。</t>
        </is>
      </c>
      <c r="V11" s="5" t="b">
        <v>0</v>
      </c>
      <c r="W11" s="5" t="str"/>
      <c r="X11" s="43" t="n"/>
      <c r="Y11" s="40" t="n"/>
      <c r="Z11" s="42" t="n"/>
      <c r="AA11" s="42" t="n"/>
      <c r="AB11" s="43" t="n"/>
      <c r="AC11" s="43" t="n"/>
      <c r="AD11" s="44" t="n"/>
      <c r="AE11" s="44" t="n"/>
      <c r="AF11" s="43" t="n"/>
      <c r="AG11" s="44" t="n"/>
      <c r="AH11" s="44" t="n"/>
      <c r="AI11" s="44" t="n"/>
      <c r="AJ11" s="44" t="n"/>
      <c r="AK11" s="5" t="str"/>
      <c r="AL11" s="5" t="str"/>
      <c r="AM11" s="5" t="str"/>
      <c r="AN11" s="5" t="str"/>
      <c r="AO11" s="5" t="str"/>
      <c r="AP11" s="5" t="str"/>
      <c r="AQ11" s="5" t="str"/>
      <c r="AR11" s="5" t="inlineStr">
        <is>
          <t>outside_yokoze_town; no_water_measurement</t>
        </is>
      </c>
      <c r="AS11" s="5" t="n">
        <v>11</v>
      </c>
      <c r="AT11" s="5" t="n"/>
      <c r="AU11" s="5" t="inlineStr">
        <is>
          <t>2026.09.21-22_荒川流域圏構想フィールドワーク.xlsx</t>
        </is>
      </c>
    </row>
    <row r="12" ht="22" customHeight="1" s="1">
      <c r="A12" s="5" t="inlineStr">
        <is>
          <t>YKW-20260922-011</t>
        </is>
      </c>
      <c r="B12" s="5" t="inlineStr">
        <is>
          <t>湧水の水路</t>
        </is>
      </c>
      <c r="C12" s="5" t="inlineStr">
        <is>
          <t>water_quality_sample</t>
        </is>
      </c>
      <c r="D12" s="5" t="inlineStr">
        <is>
          <t>spring_channel</t>
        </is>
      </c>
      <c r="E12" s="5" t="b">
        <v>1</v>
      </c>
      <c r="F12" s="40" t="n">
        <v>46287.46864583333</v>
      </c>
      <c r="G12" s="41" t="n">
        <v>46287</v>
      </c>
      <c r="H12" s="42" t="n">
        <v>139.089224</v>
      </c>
      <c r="I12" s="42" t="n">
        <v>36.004091</v>
      </c>
      <c r="J12" s="5" t="inlineStr">
        <is>
          <t>POINT (139.089224 36.004091)</t>
        </is>
      </c>
      <c r="K12" s="5" t="inlineStr">
        <is>
          <t>埼玉県秩父市上宮地町14-7</t>
        </is>
      </c>
      <c r="L12" s="5" t="inlineStr">
        <is>
          <t>秩父市</t>
        </is>
      </c>
      <c r="M12" s="5" t="b">
        <v>0</v>
      </c>
      <c r="N12" s="5" t="inlineStr">
        <is>
          <t>unknown</t>
        </is>
      </c>
      <c r="O12" s="43" t="n">
        <v>221.3</v>
      </c>
      <c r="P12" s="43" t="n">
        <v>21.4</v>
      </c>
      <c r="Q12" s="44" t="n">
        <v>30.2</v>
      </c>
      <c r="R12" s="44" t="n">
        <v>6.9</v>
      </c>
      <c r="S12" s="44" t="n">
        <v>7.4</v>
      </c>
      <c r="T12" s="44" t="n">
        <v>0.5</v>
      </c>
      <c r="U12" s="5" t="inlineStr">
        <is>
          <t>段丘の低崖付近から湧出する地下水を集水。ザリガニやカワエビ、カワニナなど水生生物が多く観察される。</t>
        </is>
      </c>
      <c r="V12" s="5" t="b">
        <v>1</v>
      </c>
      <c r="W12" s="5" t="inlineStr">
        <is>
          <t>name_time_spatial</t>
        </is>
      </c>
      <c r="X12" s="43" t="n">
        <v>2.9</v>
      </c>
      <c r="Y12" s="40" t="n">
        <v>46287.46747685185</v>
      </c>
      <c r="Z12" s="42" t="n">
        <v>36.004066</v>
      </c>
      <c r="AA12" s="42" t="n">
        <v>139.089214</v>
      </c>
      <c r="AB12" s="43" t="n">
        <v>266.5</v>
      </c>
      <c r="AC12" s="43" t="n">
        <v>45.2</v>
      </c>
      <c r="AD12" s="44" t="n">
        <v>29.778</v>
      </c>
      <c r="AE12" s="44" t="n">
        <v>79</v>
      </c>
      <c r="AF12" s="43" t="n">
        <v>27.8</v>
      </c>
      <c r="AG12" s="45" t="n">
        <v>32.8</v>
      </c>
      <c r="AH12" s="44" t="n">
        <v>7.53</v>
      </c>
      <c r="AI12" s="44" t="n"/>
      <c r="AJ12" s="44" t="n">
        <v>266</v>
      </c>
      <c r="AK12" s="5" t="inlineStr">
        <is>
          <t>晴れ</t>
        </is>
      </c>
      <c r="AL12" s="5" t="inlineStr">
        <is>
          <t>雨</t>
        </is>
      </c>
      <c r="AM12" s="5" t="inlineStr">
        <is>
          <t>Yokoze</t>
        </is>
      </c>
      <c r="AN12" s="5" t="inlineStr">
        <is>
          <t>20260922</t>
        </is>
      </c>
      <c r="AO12" s="5" t="inlineStr">
        <is>
          <t>115</t>
        </is>
      </c>
      <c r="AP12" s="5" t="inlineStr">
        <is>
          <t>サワガニの水路</t>
        </is>
      </c>
      <c r="AQ12" s="5" t="str"/>
      <c r="AR12" s="5" t="inlineStr">
        <is>
          <t>outside_yokoze_town; elevation_difference_gt_20m</t>
        </is>
      </c>
      <c r="AS12" s="5" t="n">
        <v>12</v>
      </c>
      <c r="AT12" s="5" t="n">
        <v>5</v>
      </c>
      <c r="AU12" s="5" t="inlineStr">
        <is>
          <t>2026.09.21-22_荒川流域圏構想フィールドワーク.xlsx; Code for Ground データソン.xlsx</t>
        </is>
      </c>
    </row>
    <row r="13" ht="22" customHeight="1" s="1">
      <c r="A13" s="5" t="inlineStr">
        <is>
          <t>YKW-20260922-012</t>
        </is>
      </c>
      <c r="B13" s="5" t="inlineStr">
        <is>
          <t>妙見七つ井戸 五の井戸（あらゐの井戸）</t>
        </is>
      </c>
      <c r="C13" s="5" t="inlineStr">
        <is>
          <t>water_quality_sample</t>
        </is>
      </c>
      <c r="D13" s="5" t="inlineStr">
        <is>
          <t>well</t>
        </is>
      </c>
      <c r="E13" s="5" t="b">
        <v>1</v>
      </c>
      <c r="F13" s="40" t="n">
        <v>46287.47568287037</v>
      </c>
      <c r="G13" s="41" t="n">
        <v>46287</v>
      </c>
      <c r="H13" s="42" t="n">
        <v>139.090301</v>
      </c>
      <c r="I13" s="42" t="n">
        <v>36.005537</v>
      </c>
      <c r="J13" s="5" t="inlineStr">
        <is>
          <t>POINT (139.090301 36.005537)</t>
        </is>
      </c>
      <c r="K13" s="5" t="inlineStr">
        <is>
          <t>埼玉県秩父市中宮地町9-2</t>
        </is>
      </c>
      <c r="L13" s="5" t="inlineStr">
        <is>
          <t>秩父市</t>
        </is>
      </c>
      <c r="M13" s="5" t="b">
        <v>0</v>
      </c>
      <c r="N13" s="5" t="inlineStr">
        <is>
          <t>unknown</t>
        </is>
      </c>
      <c r="O13" s="43" t="n">
        <v>221.29</v>
      </c>
      <c r="P13" s="43" t="n">
        <v>20.7</v>
      </c>
      <c r="Q13" s="44" t="n">
        <v>29.5</v>
      </c>
      <c r="R13" s="44" t="n">
        <v>6.8</v>
      </c>
      <c r="S13" s="44" t="n">
        <v>7.4</v>
      </c>
      <c r="T13" s="44" t="n">
        <v>0.6</v>
      </c>
      <c r="U13" s="5" t="inlineStr">
        <is>
          <t>現在でも湧出量が豊富で、野菜の洗い場などとして利用される。マス内には鯉が遊泳している。</t>
        </is>
      </c>
      <c r="V13" s="5" t="b">
        <v>1</v>
      </c>
      <c r="W13" s="5" t="inlineStr">
        <is>
          <t>name_time_spatial</t>
        </is>
      </c>
      <c r="X13" s="43" t="n">
        <v>11.2</v>
      </c>
      <c r="Y13" s="40" t="n">
        <v>46287.47480324074</v>
      </c>
      <c r="Z13" s="42" t="n">
        <v>36.005459</v>
      </c>
      <c r="AA13" s="42" t="n">
        <v>139.090223</v>
      </c>
      <c r="AB13" s="43" t="n">
        <v>265.6</v>
      </c>
      <c r="AC13" s="43" t="n">
        <v>44.3</v>
      </c>
      <c r="AD13" s="44" t="n">
        <v>25.598</v>
      </c>
      <c r="AE13" s="44" t="n">
        <v>81</v>
      </c>
      <c r="AF13" s="43" t="n">
        <v>27.8</v>
      </c>
      <c r="AG13" s="45" t="n">
        <v>31.8</v>
      </c>
      <c r="AH13" s="44" t="n">
        <v>7.34</v>
      </c>
      <c r="AI13" s="44" t="n"/>
      <c r="AJ13" s="44" t="n">
        <v>272</v>
      </c>
      <c r="AK13" s="5" t="inlineStr">
        <is>
          <t>晴れ</t>
        </is>
      </c>
      <c r="AL13" s="5" t="inlineStr">
        <is>
          <t>雨</t>
        </is>
      </c>
      <c r="AM13" s="5" t="inlineStr">
        <is>
          <t>Yokoze</t>
        </is>
      </c>
      <c r="AN13" s="5" t="inlineStr">
        <is>
          <t>20260922</t>
        </is>
      </c>
      <c r="AO13" s="5" t="inlineStr">
        <is>
          <t>115</t>
        </is>
      </c>
      <c r="AP13" s="5" t="inlineStr">
        <is>
          <t>五の井戸</t>
        </is>
      </c>
      <c r="AQ13" s="5" t="str"/>
      <c r="AR13" s="5" t="inlineStr">
        <is>
          <t>outside_yokoze_town; elevation_difference_gt_20m</t>
        </is>
      </c>
      <c r="AS13" s="5" t="n">
        <v>13</v>
      </c>
      <c r="AT13" s="5" t="n">
        <v>6</v>
      </c>
      <c r="AU13" s="5" t="inlineStr">
        <is>
          <t>2026.09.21-22_荒川流域圏構想フィールドワーク.xlsx; Code for Ground データソン.xlsx</t>
        </is>
      </c>
    </row>
    <row r="14" ht="22" customHeight="1" s="1">
      <c r="A14" s="5" t="inlineStr">
        <is>
          <t>YKW-20260922-013</t>
        </is>
      </c>
      <c r="B14" s="5" t="inlineStr">
        <is>
          <t>湧水</t>
        </is>
      </c>
      <c r="C14" s="5" t="inlineStr">
        <is>
          <t>water_feature</t>
        </is>
      </c>
      <c r="D14" s="5" t="inlineStr">
        <is>
          <t>spring_channel</t>
        </is>
      </c>
      <c r="E14" s="5" t="b">
        <v>0</v>
      </c>
      <c r="F14" s="40" t="n">
        <v>46287.47798611111</v>
      </c>
      <c r="G14" s="41" t="n">
        <v>46287</v>
      </c>
      <c r="H14" s="42" t="n">
        <v>139.090465</v>
      </c>
      <c r="I14" s="42" t="n">
        <v>36.005796</v>
      </c>
      <c r="J14" s="5" t="inlineStr">
        <is>
          <t>POINT (139.090465 36.005796)</t>
        </is>
      </c>
      <c r="K14" s="5" t="inlineStr">
        <is>
          <t>埼玉県秩父市中宮地町9-4</t>
        </is>
      </c>
      <c r="L14" s="5" t="inlineStr">
        <is>
          <t>秩父市</t>
        </is>
      </c>
      <c r="M14" s="5" t="b">
        <v>0</v>
      </c>
      <c r="N14" s="5" t="inlineStr">
        <is>
          <t>unknown</t>
        </is>
      </c>
      <c r="O14" s="43" t="n">
        <v>221.25</v>
      </c>
      <c r="P14" s="43" t="n"/>
      <c r="Q14" s="44" t="n"/>
      <c r="R14" s="44" t="n"/>
      <c r="S14" s="44" t="n"/>
      <c r="T14" s="44" t="n"/>
      <c r="U14" s="5" t="inlineStr">
        <is>
          <t>住宅地の一角から湧出する水路。</t>
        </is>
      </c>
      <c r="V14" s="5" t="b">
        <v>0</v>
      </c>
      <c r="W14" s="5" t="str"/>
      <c r="X14" s="43" t="n"/>
      <c r="Y14" s="40" t="n"/>
      <c r="Z14" s="42" t="n"/>
      <c r="AA14" s="42" t="n"/>
      <c r="AB14" s="43" t="n"/>
      <c r="AC14" s="43" t="n"/>
      <c r="AD14" s="44" t="n"/>
      <c r="AE14" s="44" t="n"/>
      <c r="AF14" s="43" t="n"/>
      <c r="AG14" s="44" t="n"/>
      <c r="AH14" s="44" t="n"/>
      <c r="AI14" s="44" t="n"/>
      <c r="AJ14" s="44" t="n"/>
      <c r="AK14" s="5" t="str"/>
      <c r="AL14" s="5" t="str"/>
      <c r="AM14" s="5" t="str"/>
      <c r="AN14" s="5" t="str"/>
      <c r="AO14" s="5" t="str"/>
      <c r="AP14" s="5" t="str"/>
      <c r="AQ14" s="5" t="str"/>
      <c r="AR14" s="5" t="inlineStr">
        <is>
          <t>outside_yokoze_town; no_water_measurement</t>
        </is>
      </c>
      <c r="AS14" s="5" t="n">
        <v>14</v>
      </c>
      <c r="AT14" s="5" t="n"/>
      <c r="AU14" s="5" t="inlineStr">
        <is>
          <t>2026.09.21-22_荒川流域圏構想フィールドワーク.xlsx</t>
        </is>
      </c>
    </row>
    <row r="15" ht="22" customHeight="1" s="1">
      <c r="A15" s="5" t="inlineStr">
        <is>
          <t>YKW-20260922-014</t>
        </is>
      </c>
      <c r="B15" s="5" t="inlineStr">
        <is>
          <t>亀の祠</t>
        </is>
      </c>
      <c r="C15" s="5" t="inlineStr">
        <is>
          <t>other_observation</t>
        </is>
      </c>
      <c r="D15" s="5" t="inlineStr">
        <is>
          <t>cultural_feature</t>
        </is>
      </c>
      <c r="E15" s="5" t="b">
        <v>0</v>
      </c>
      <c r="F15" s="40" t="n">
        <v>46287.47875</v>
      </c>
      <c r="G15" s="41" t="n">
        <v>46287</v>
      </c>
      <c r="H15" s="42" t="n">
        <v>139.09061</v>
      </c>
      <c r="I15" s="42" t="n">
        <v>36.006153</v>
      </c>
      <c r="J15" s="5" t="inlineStr">
        <is>
          <t>POINT (139.09061 36.006153)</t>
        </is>
      </c>
      <c r="K15" s="5" t="inlineStr">
        <is>
          <t>埼玉県秩父市中宮地町9-7</t>
        </is>
      </c>
      <c r="L15" s="5" t="inlineStr">
        <is>
          <t>秩父市</t>
        </is>
      </c>
      <c r="M15" s="5" t="b">
        <v>0</v>
      </c>
      <c r="N15" s="5" t="inlineStr">
        <is>
          <t>unknown</t>
        </is>
      </c>
      <c r="O15" s="43" t="n">
        <v>221.85</v>
      </c>
      <c r="P15" s="43" t="n"/>
      <c r="Q15" s="44" t="n"/>
      <c r="R15" s="44" t="n"/>
      <c r="S15" s="44" t="n"/>
      <c r="T15" s="44" t="n"/>
      <c r="U15" s="5" t="inlineStr">
        <is>
          <t>段丘の低崖付近にあり、中宮地町の住宅軒先に祀られた亀の祠</t>
        </is>
      </c>
      <c r="V15" s="5" t="b">
        <v>0</v>
      </c>
      <c r="W15" s="5" t="str"/>
      <c r="X15" s="43" t="n"/>
      <c r="Y15" s="40" t="n"/>
      <c r="Z15" s="42" t="n"/>
      <c r="AA15" s="42" t="n"/>
      <c r="AB15" s="43" t="n"/>
      <c r="AC15" s="43" t="n"/>
      <c r="AD15" s="44" t="n"/>
      <c r="AE15" s="44" t="n"/>
      <c r="AF15" s="43" t="n"/>
      <c r="AG15" s="44" t="n"/>
      <c r="AH15" s="44" t="n"/>
      <c r="AI15" s="44" t="n"/>
      <c r="AJ15" s="44" t="n"/>
      <c r="AK15" s="5" t="str"/>
      <c r="AL15" s="5" t="str"/>
      <c r="AM15" s="5" t="str"/>
      <c r="AN15" s="5" t="str"/>
      <c r="AO15" s="5" t="str"/>
      <c r="AP15" s="5" t="str"/>
      <c r="AQ15" s="5" t="str"/>
      <c r="AR15" s="5" t="inlineStr">
        <is>
          <t>outside_yokoze_town; no_water_measurement</t>
        </is>
      </c>
      <c r="AS15" s="5" t="n">
        <v>15</v>
      </c>
      <c r="AT15" s="5" t="n"/>
      <c r="AU15" s="5" t="inlineStr">
        <is>
          <t>2026.09.21-22_荒川流域圏構想フィールドワーク.xlsx</t>
        </is>
      </c>
    </row>
    <row r="16" ht="22" customHeight="1" s="1">
      <c r="A16" s="5" t="inlineStr">
        <is>
          <t>YKW-20260922-015</t>
        </is>
      </c>
      <c r="B16" s="5" t="inlineStr">
        <is>
          <t>妙見七つ井戸 四の井戸（下堀の井戸）</t>
        </is>
      </c>
      <c r="C16" s="5" t="inlineStr">
        <is>
          <t>water_quality_sample</t>
        </is>
      </c>
      <c r="D16" s="5" t="inlineStr">
        <is>
          <t>well</t>
        </is>
      </c>
      <c r="E16" s="5" t="b">
        <v>1</v>
      </c>
      <c r="F16" s="40" t="n">
        <v>46287.48083333333</v>
      </c>
      <c r="G16" s="41" t="n">
        <v>46287</v>
      </c>
      <c r="H16" s="42" t="n">
        <v>139.090911</v>
      </c>
      <c r="I16" s="42" t="n">
        <v>36.00657</v>
      </c>
      <c r="J16" s="5" t="inlineStr">
        <is>
          <t>POINT (139.090911 36.00657)</t>
        </is>
      </c>
      <c r="K16" s="5" t="inlineStr">
        <is>
          <t>埼玉県秩父市中宮地町20-2</t>
        </is>
      </c>
      <c r="L16" s="5" t="inlineStr">
        <is>
          <t>秩父市</t>
        </is>
      </c>
      <c r="M16" s="5" t="b">
        <v>0</v>
      </c>
      <c r="N16" s="5" t="inlineStr">
        <is>
          <t>unknown</t>
        </is>
      </c>
      <c r="O16" s="43" t="n">
        <v>220.18</v>
      </c>
      <c r="P16" s="43" t="n">
        <v>20.6</v>
      </c>
      <c r="Q16" s="44" t="n">
        <v>30.8</v>
      </c>
      <c r="R16" s="44" t="n">
        <v>6.7</v>
      </c>
      <c r="S16" s="44" t="n">
        <v>7.3</v>
      </c>
      <c r="T16" s="44" t="n">
        <v>0.6</v>
      </c>
      <c r="U16" s="5" t="inlineStr">
        <is>
          <t>段丘の低崖端部に位置。かつてはけやきの根元から湧出し、七ツ井戸で最も湧出量が豊富であったが、現在は当時の1/3程度。枯渇経験あり。</t>
        </is>
      </c>
      <c r="V16" s="5" t="b">
        <v>1</v>
      </c>
      <c r="W16" s="5" t="inlineStr">
        <is>
          <t>name_time_spatial</t>
        </is>
      </c>
      <c r="X16" s="43" t="n">
        <v>4.9</v>
      </c>
      <c r="Y16" s="40" t="n">
        <v>46287.48083333333</v>
      </c>
      <c r="Z16" s="42" t="n">
        <v>36.006613</v>
      </c>
      <c r="AA16" s="42" t="n">
        <v>139.090901</v>
      </c>
      <c r="AB16" s="43" t="n">
        <v>266.6</v>
      </c>
      <c r="AC16" s="43" t="n">
        <v>46.4</v>
      </c>
      <c r="AD16" s="44" t="n">
        <v>79.57899999999999</v>
      </c>
      <c r="AE16" s="44" t="n">
        <v>66</v>
      </c>
      <c r="AF16" s="43" t="n">
        <v>29.7</v>
      </c>
      <c r="AG16" s="45" t="n">
        <v>32.9</v>
      </c>
      <c r="AH16" s="44" t="n">
        <v>7.38</v>
      </c>
      <c r="AI16" s="44" t="n"/>
      <c r="AJ16" s="44" t="n">
        <v>284</v>
      </c>
      <c r="AK16" s="5" t="inlineStr">
        <is>
          <t>晴れ</t>
        </is>
      </c>
      <c r="AL16" s="5" t="inlineStr">
        <is>
          <t>雨</t>
        </is>
      </c>
      <c r="AM16" s="5" t="inlineStr">
        <is>
          <t>Yokoze</t>
        </is>
      </c>
      <c r="AN16" s="5" t="inlineStr">
        <is>
          <t>20260922</t>
        </is>
      </c>
      <c r="AO16" s="5" t="inlineStr">
        <is>
          <t>115</t>
        </is>
      </c>
      <c r="AP16" s="5" t="inlineStr">
        <is>
          <t>四の井戸</t>
        </is>
      </c>
      <c r="AQ16" s="5" t="str"/>
      <c r="AR16" s="5" t="inlineStr">
        <is>
          <t>outside_yokoze_town; elevation_difference_gt_20m</t>
        </is>
      </c>
      <c r="AS16" s="5" t="n">
        <v>16</v>
      </c>
      <c r="AT16" s="5" t="n">
        <v>7</v>
      </c>
      <c r="AU16" s="5" t="inlineStr">
        <is>
          <t>2026.09.21-22_荒川流域圏構想フィールドワーク.xlsx; Code for Ground データソン.xlsx</t>
        </is>
      </c>
    </row>
    <row r="17" ht="22" customHeight="1" s="1">
      <c r="A17" s="5" t="inlineStr">
        <is>
          <t>YKW-20260922-016</t>
        </is>
      </c>
      <c r="B17" s="5" t="inlineStr">
        <is>
          <t>妙見七つ井戸 三の井戸（子育ての井戸）</t>
        </is>
      </c>
      <c r="C17" s="5" t="inlineStr">
        <is>
          <t>water_quality_sample</t>
        </is>
      </c>
      <c r="D17" s="5" t="inlineStr">
        <is>
          <t>well</t>
        </is>
      </c>
      <c r="E17" s="5" t="b">
        <v>1</v>
      </c>
      <c r="F17" s="40" t="n">
        <v>46287.57225694445</v>
      </c>
      <c r="G17" s="41" t="n">
        <v>46287</v>
      </c>
      <c r="H17" s="42" t="n">
        <v>139.091416</v>
      </c>
      <c r="I17" s="42" t="n">
        <v>36.007535</v>
      </c>
      <c r="J17" s="5" t="inlineStr">
        <is>
          <t>POINT (139.091416 36.007535)</t>
        </is>
      </c>
      <c r="K17" s="5" t="inlineStr">
        <is>
          <t>埼玉県秩父市中宮地町25-34</t>
        </is>
      </c>
      <c r="L17" s="5" t="inlineStr">
        <is>
          <t>秩父市</t>
        </is>
      </c>
      <c r="M17" s="5" t="b">
        <v>0</v>
      </c>
      <c r="N17" s="5" t="inlineStr">
        <is>
          <t>unknown</t>
        </is>
      </c>
      <c r="O17" s="43" t="n">
        <v>219.93</v>
      </c>
      <c r="P17" s="43" t="n">
        <v>21.3</v>
      </c>
      <c r="Q17" s="44" t="n">
        <v>28.8</v>
      </c>
      <c r="R17" s="44" t="n">
        <v>6.8</v>
      </c>
      <c r="S17" s="44" t="n">
        <v>7.3</v>
      </c>
      <c r="T17" s="44" t="n">
        <v>0.5</v>
      </c>
      <c r="U17" s="5" t="inlineStr">
        <is>
          <t>段丘の低崖付近にあり、この水でご飯を炊くと乳の出が良くなるとの言い伝えがある。湧出量は減少しているそう。</t>
        </is>
      </c>
      <c r="V17" s="5" t="b">
        <v>1</v>
      </c>
      <c r="W17" s="5" t="inlineStr">
        <is>
          <t>name_time_spatial</t>
        </is>
      </c>
      <c r="X17" s="43" t="n">
        <v>1.1</v>
      </c>
      <c r="Y17" s="40" t="n">
        <v>46287.57190972222</v>
      </c>
      <c r="Z17" s="42" t="n">
        <v>36.007545</v>
      </c>
      <c r="AA17" s="42" t="n">
        <v>139.091417</v>
      </c>
      <c r="AB17" s="43" t="n">
        <v>263.2</v>
      </c>
      <c r="AC17" s="43" t="n">
        <v>43.3</v>
      </c>
      <c r="AD17" s="44" t="n">
        <v>25.598</v>
      </c>
      <c r="AE17" s="44" t="n">
        <v>81</v>
      </c>
      <c r="AF17" s="43" t="n">
        <v>27</v>
      </c>
      <c r="AG17" s="45" t="n">
        <v>30.6</v>
      </c>
      <c r="AH17" s="44" t="n">
        <v>7.43</v>
      </c>
      <c r="AI17" s="44" t="n"/>
      <c r="AJ17" s="44" t="n">
        <v>261</v>
      </c>
      <c r="AK17" s="5" t="inlineStr">
        <is>
          <t>晴れ</t>
        </is>
      </c>
      <c r="AL17" s="5" t="inlineStr">
        <is>
          <t>雨</t>
        </is>
      </c>
      <c r="AM17" s="5" t="inlineStr">
        <is>
          <t>Yokoze</t>
        </is>
      </c>
      <c r="AN17" s="5" t="inlineStr">
        <is>
          <t>20260922</t>
        </is>
      </c>
      <c r="AO17" s="5" t="inlineStr">
        <is>
          <t>115</t>
        </is>
      </c>
      <c r="AP17" s="5" t="inlineStr">
        <is>
          <t>三の井戸</t>
        </is>
      </c>
      <c r="AQ17" s="5" t="str"/>
      <c r="AR17" s="5" t="inlineStr">
        <is>
          <t>outside_yokoze_town; elevation_difference_gt_20m</t>
        </is>
      </c>
      <c r="AS17" s="5" t="n">
        <v>17</v>
      </c>
      <c r="AT17" s="5" t="n">
        <v>8</v>
      </c>
      <c r="AU17" s="5" t="inlineStr">
        <is>
          <t>2026.09.21-22_荒川流域圏構想フィールドワーク.xlsx; Code for Ground データソン.xlsx</t>
        </is>
      </c>
    </row>
    <row r="18" ht="22" customHeight="1" s="1">
      <c r="A18" s="5" t="inlineStr">
        <is>
          <t>YKW-20260922-017</t>
        </is>
      </c>
      <c r="B18" s="5" t="inlineStr">
        <is>
          <t>妙見七つ井戸 二の井戸（井之上の井戸）</t>
        </is>
      </c>
      <c r="C18" s="5" t="inlineStr">
        <is>
          <t>water_quality_sample</t>
        </is>
      </c>
      <c r="D18" s="5" t="inlineStr">
        <is>
          <t>well</t>
        </is>
      </c>
      <c r="E18" s="5" t="b">
        <v>1</v>
      </c>
      <c r="F18" s="40" t="n">
        <v>46287.58414351852</v>
      </c>
      <c r="G18" s="41" t="n">
        <v>46287</v>
      </c>
      <c r="H18" s="42" t="n">
        <v>139.09259</v>
      </c>
      <c r="I18" s="42" t="n">
        <v>36.009</v>
      </c>
      <c r="J18" s="5" t="inlineStr">
        <is>
          <t>POINT (139.09259 36.009)</t>
        </is>
      </c>
      <c r="K18" s="5" t="inlineStr">
        <is>
          <t>埼玉県秩父市中宮地町34-8</t>
        </is>
      </c>
      <c r="L18" s="5" t="inlineStr">
        <is>
          <t>秩父市</t>
        </is>
      </c>
      <c r="M18" s="5" t="b">
        <v>0</v>
      </c>
      <c r="N18" s="5" t="inlineStr">
        <is>
          <t>unknown</t>
        </is>
      </c>
      <c r="O18" s="43" t="n">
        <v>219.53</v>
      </c>
      <c r="P18" s="43" t="n">
        <v>20.6</v>
      </c>
      <c r="Q18" s="44" t="n">
        <v>9.210000000000001</v>
      </c>
      <c r="R18" s="44" t="n">
        <v>5.9</v>
      </c>
      <c r="S18" s="44" t="n">
        <v>7.1</v>
      </c>
      <c r="T18" s="44" t="n">
        <v>1.2</v>
      </c>
      <c r="U18" s="5" t="inlineStr">
        <is>
          <t>段丘の低崖端部に位置。かつては水田や畑での農作業に利用。元々は石垣下端から湧出してたが、現在の姿は当時の形を復元したもの。</t>
        </is>
      </c>
      <c r="V18" s="5" t="b">
        <v>1</v>
      </c>
      <c r="W18" s="5" t="inlineStr">
        <is>
          <t>name_time_spatial</t>
        </is>
      </c>
      <c r="X18" s="43" t="n">
        <v>29.3</v>
      </c>
      <c r="Y18" s="40" t="n">
        <v>46287.58293981481</v>
      </c>
      <c r="Z18" s="42" t="n">
        <v>36.008978</v>
      </c>
      <c r="AA18" s="42" t="n">
        <v>139.092265</v>
      </c>
      <c r="AB18" s="43" t="n">
        <v>264.3</v>
      </c>
      <c r="AC18" s="43" t="n">
        <v>44.8</v>
      </c>
      <c r="AD18" s="44" t="n">
        <v>2.111</v>
      </c>
      <c r="AE18" s="44" t="n">
        <v>114</v>
      </c>
      <c r="AF18" s="43" t="n">
        <v>27.8</v>
      </c>
      <c r="AG18" s="45" t="n">
        <v>9.5</v>
      </c>
      <c r="AH18" s="44" t="n">
        <v>6.86</v>
      </c>
      <c r="AI18" s="44" t="n"/>
      <c r="AJ18" s="44" t="n">
        <v>266</v>
      </c>
      <c r="AK18" s="5" t="inlineStr">
        <is>
          <t>晴れ</t>
        </is>
      </c>
      <c r="AL18" s="5" t="inlineStr">
        <is>
          <t>雨</t>
        </is>
      </c>
      <c r="AM18" s="5" t="inlineStr">
        <is>
          <t>Yokoze</t>
        </is>
      </c>
      <c r="AN18" s="5" t="inlineStr">
        <is>
          <t>20260922</t>
        </is>
      </c>
      <c r="AO18" s="5" t="inlineStr">
        <is>
          <t>115</t>
        </is>
      </c>
      <c r="AP18" s="5" t="inlineStr">
        <is>
          <t>二の井戸</t>
        </is>
      </c>
      <c r="AQ18" s="5" t="str"/>
      <c r="AR18" s="5" t="inlineStr">
        <is>
          <t>outside_yokoze_town; elevation_difference_gt_20m</t>
        </is>
      </c>
      <c r="AS18" s="5" t="n">
        <v>18</v>
      </c>
      <c r="AT18" s="5" t="n">
        <v>9</v>
      </c>
      <c r="AU18" s="5" t="inlineStr">
        <is>
          <t>2026.09.21-22_荒川流域圏構想フィールドワーク.xlsx; Code for Ground データソン.xlsx</t>
        </is>
      </c>
    </row>
    <row r="19" ht="22" customHeight="1" s="1">
      <c r="A19" s="5" t="inlineStr">
        <is>
          <t>YKW-20260922-018</t>
        </is>
      </c>
      <c r="B19" s="5" t="inlineStr">
        <is>
          <t>井戸</t>
        </is>
      </c>
      <c r="C19" s="5" t="inlineStr">
        <is>
          <t>water_feature</t>
        </is>
      </c>
      <c r="D19" s="5" t="inlineStr">
        <is>
          <t>well</t>
        </is>
      </c>
      <c r="E19" s="5" t="b">
        <v>0</v>
      </c>
      <c r="F19" s="40" t="n">
        <v>46287.60321759259</v>
      </c>
      <c r="G19" s="41" t="n">
        <v>46287</v>
      </c>
      <c r="H19" s="42" t="n">
        <v>139.080127</v>
      </c>
      <c r="I19" s="42" t="n">
        <v>35.99448</v>
      </c>
      <c r="J19" s="5" t="inlineStr">
        <is>
          <t>POINT (139.080127 35.99448)</t>
        </is>
      </c>
      <c r="K19" s="5" t="inlineStr">
        <is>
          <t>埼玉県秩父市中町16-3</t>
        </is>
      </c>
      <c r="L19" s="5" t="inlineStr">
        <is>
          <t>秩父市</t>
        </is>
      </c>
      <c r="M19" s="5" t="b">
        <v>0</v>
      </c>
      <c r="N19" s="5" t="inlineStr">
        <is>
          <t>unknown</t>
        </is>
      </c>
      <c r="O19" s="43" t="n">
        <v>225.67</v>
      </c>
      <c r="P19" s="43" t="n"/>
      <c r="Q19" s="44" t="n"/>
      <c r="R19" s="44" t="n"/>
      <c r="S19" s="44" t="n"/>
      <c r="T19" s="44" t="n"/>
      <c r="U19" s="5" t="str"/>
      <c r="V19" s="5" t="b">
        <v>0</v>
      </c>
      <c r="W19" s="5" t="str"/>
      <c r="X19" s="43" t="n"/>
      <c r="Y19" s="40" t="n"/>
      <c r="Z19" s="42" t="n"/>
      <c r="AA19" s="42" t="n"/>
      <c r="AB19" s="43" t="n"/>
      <c r="AC19" s="43" t="n"/>
      <c r="AD19" s="44" t="n"/>
      <c r="AE19" s="44" t="n"/>
      <c r="AF19" s="43" t="n"/>
      <c r="AG19" s="44" t="n"/>
      <c r="AH19" s="44" t="n"/>
      <c r="AI19" s="44" t="n"/>
      <c r="AJ19" s="44" t="n"/>
      <c r="AK19" s="5" t="str"/>
      <c r="AL19" s="5" t="str"/>
      <c r="AM19" s="5" t="str"/>
      <c r="AN19" s="5" t="str"/>
      <c r="AO19" s="5" t="str"/>
      <c r="AP19" s="5" t="str"/>
      <c r="AQ19" s="5" t="str"/>
      <c r="AR19" s="5" t="inlineStr">
        <is>
          <t>outside_yokoze_town; no_water_measurement</t>
        </is>
      </c>
      <c r="AS19" s="5" t="n">
        <v>19</v>
      </c>
      <c r="AT19" s="5" t="n"/>
      <c r="AU19" s="5" t="inlineStr">
        <is>
          <t>2026.09.21-22_荒川流域圏構想フィールドワーク.xlsx</t>
        </is>
      </c>
    </row>
    <row r="20" ht="22" customHeight="1" s="1">
      <c r="A20" s="5" t="inlineStr">
        <is>
          <t>YKW-20260922-019</t>
        </is>
      </c>
      <c r="B20" s="5" t="inlineStr">
        <is>
          <t>秩父今宮神社 清龍の滝</t>
        </is>
      </c>
      <c r="C20" s="5" t="inlineStr">
        <is>
          <t>water_quality_sample</t>
        </is>
      </c>
      <c r="D20" s="5" t="inlineStr">
        <is>
          <t>spring_water</t>
        </is>
      </c>
      <c r="E20" s="5" t="b">
        <v>1</v>
      </c>
      <c r="F20" s="40" t="n">
        <v>46287.6049537037</v>
      </c>
      <c r="G20" s="41" t="n">
        <v>46287</v>
      </c>
      <c r="H20" s="42" t="n">
        <v>139.080357</v>
      </c>
      <c r="I20" s="42" t="n">
        <v>35.994571</v>
      </c>
      <c r="J20" s="5" t="inlineStr">
        <is>
          <t>POINT (139.080357 35.994571)</t>
        </is>
      </c>
      <c r="K20" s="5" t="inlineStr">
        <is>
          <t>埼玉県秩父市中町16-2</t>
        </is>
      </c>
      <c r="L20" s="5" t="inlineStr">
        <is>
          <t>秩父市</t>
        </is>
      </c>
      <c r="M20" s="5" t="b">
        <v>0</v>
      </c>
      <c r="N20" s="5" t="inlineStr">
        <is>
          <t>unknown</t>
        </is>
      </c>
      <c r="O20" s="43" t="n">
        <v>226.98</v>
      </c>
      <c r="P20" s="43" t="n">
        <v>20.5</v>
      </c>
      <c r="Q20" s="44" t="n">
        <v>26.5</v>
      </c>
      <c r="R20" s="44" t="n">
        <v>6.8</v>
      </c>
      <c r="S20" s="44" t="n">
        <v>7.5</v>
      </c>
      <c r="T20" s="44" t="n">
        <v>0.7</v>
      </c>
      <c r="U20" s="5" t="inlineStr">
        <is>
          <t>段丘の低崖付近にあり、武甲山の伏流水が湧き出る名水で、環境省の「平成の名水百選」に選定された。</t>
        </is>
      </c>
      <c r="V20" s="5" t="b">
        <v>1</v>
      </c>
      <c r="W20" s="5" t="inlineStr">
        <is>
          <t>name_time_manual_override</t>
        </is>
      </c>
      <c r="X20" s="43" t="n">
        <v>31.4</v>
      </c>
      <c r="Y20" s="40" t="n">
        <v>46287.60726851852</v>
      </c>
      <c r="Z20" s="42" t="n">
        <v>35.994662</v>
      </c>
      <c r="AA20" s="42" t="n">
        <v>139.080027</v>
      </c>
      <c r="AB20" s="43" t="n">
        <v>268.9</v>
      </c>
      <c r="AC20" s="43" t="n">
        <v>41.9</v>
      </c>
      <c r="AD20" s="44" t="n">
        <v>58.809</v>
      </c>
      <c r="AE20" s="44" t="n">
        <v>70</v>
      </c>
      <c r="AF20" s="43" t="n">
        <v>28</v>
      </c>
      <c r="AG20" s="45" t="n">
        <v>27.5</v>
      </c>
      <c r="AH20" s="44" t="n">
        <v>7.2</v>
      </c>
      <c r="AI20" s="44" t="n">
        <v>7.05</v>
      </c>
      <c r="AJ20" s="44" t="n">
        <v>251</v>
      </c>
      <c r="AK20" s="5" t="inlineStr">
        <is>
          <t>晴れ</t>
        </is>
      </c>
      <c r="AL20" s="5" t="inlineStr">
        <is>
          <t>雨</t>
        </is>
      </c>
      <c r="AM20" s="5" t="inlineStr">
        <is>
          <t>Yokoze</t>
        </is>
      </c>
      <c r="AN20" s="5" t="inlineStr">
        <is>
          <t>20260922</t>
        </is>
      </c>
      <c r="AO20" s="5" t="inlineStr">
        <is>
          <t>115</t>
        </is>
      </c>
      <c r="AP20" s="5" t="inlineStr">
        <is>
          <t>今宮神社</t>
        </is>
      </c>
      <c r="AQ20" s="5" t="inlineStr">
        <is>
          <t>ph再測定7.05</t>
        </is>
      </c>
      <c r="AR20" s="5" t="inlineStr">
        <is>
          <t>outside_yokoze_town; elevation_difference_gt_20m; cfg_nearest_point_override_reviewed</t>
        </is>
      </c>
      <c r="AS20" s="5" t="n">
        <v>20</v>
      </c>
      <c r="AT20" s="5" t="n">
        <v>10</v>
      </c>
      <c r="AU20" s="5" t="inlineStr">
        <is>
          <t>2026.09.21-22_荒川流域圏構想フィールドワーク.xlsx; Code for Ground データソン.xlsx</t>
        </is>
      </c>
    </row>
    <row r="21" ht="22" customHeight="1" s="1">
      <c r="A21" s="5" t="inlineStr">
        <is>
          <t>YKW-20260922-020</t>
        </is>
      </c>
      <c r="B21" s="5" t="inlineStr">
        <is>
          <t>知知夫瀧坂水神社 御神水</t>
        </is>
      </c>
      <c r="C21" s="5" t="inlineStr">
        <is>
          <t>water_quality_sample</t>
        </is>
      </c>
      <c r="D21" s="5" t="inlineStr">
        <is>
          <t>spring_water</t>
        </is>
      </c>
      <c r="E21" s="5" t="b">
        <v>1</v>
      </c>
      <c r="F21" s="40" t="n">
        <v>46287.63265046296</v>
      </c>
      <c r="G21" s="41" t="n">
        <v>46287</v>
      </c>
      <c r="H21" s="42" t="n">
        <v>139.071677</v>
      </c>
      <c r="I21" s="42" t="n">
        <v>35.987823</v>
      </c>
      <c r="J21" s="5" t="inlineStr">
        <is>
          <t>POINT (139.071677 35.987823)</t>
        </is>
      </c>
      <c r="K21" s="5" t="inlineStr">
        <is>
          <t>埼玉県秩父市井戸尻橋</t>
        </is>
      </c>
      <c r="L21" s="5" t="inlineStr">
        <is>
          <t>秩父市</t>
        </is>
      </c>
      <c r="M21" s="5" t="b">
        <v>0</v>
      </c>
      <c r="N21" s="5" t="inlineStr">
        <is>
          <t>unknown</t>
        </is>
      </c>
      <c r="O21" s="43" t="n">
        <v>211.78</v>
      </c>
      <c r="P21" s="43" t="n">
        <v>16.1</v>
      </c>
      <c r="Q21" s="44" t="n">
        <v>21.4</v>
      </c>
      <c r="R21" s="44" t="n">
        <v>6.3</v>
      </c>
      <c r="S21" s="44" t="n">
        <v>7.3</v>
      </c>
      <c r="T21" s="44" t="n">
        <v>1</v>
      </c>
      <c r="U21" s="5" t="inlineStr">
        <is>
          <t>押堀川に架かる井戸尻橋の水道水源施設から200m程上流の左岸斜面から豊富に湧出する。武甲山の伏流水と伝えられており、水場には、 小さな祠がある。</t>
        </is>
      </c>
      <c r="V21" s="5" t="b">
        <v>1</v>
      </c>
      <c r="W21" s="5" t="inlineStr">
        <is>
          <t>time_spatial_alias_reviewed</t>
        </is>
      </c>
      <c r="X21" s="43" t="n">
        <v>27.9</v>
      </c>
      <c r="Y21" s="40" t="n">
        <v>46287.63378472222</v>
      </c>
      <c r="Z21" s="42" t="n">
        <v>35.987659</v>
      </c>
      <c r="AA21" s="42" t="n">
        <v>139.071443</v>
      </c>
      <c r="AB21" s="43" t="n">
        <v>255.7</v>
      </c>
      <c r="AC21" s="43" t="n">
        <v>43.9</v>
      </c>
      <c r="AD21" s="44" t="n">
        <v>63.428</v>
      </c>
      <c r="AE21" s="44" t="n">
        <v>69</v>
      </c>
      <c r="AF21" s="43" t="n">
        <v>27</v>
      </c>
      <c r="AG21" s="45" t="n">
        <v>23.1</v>
      </c>
      <c r="AH21" s="44" t="n">
        <v>7.23</v>
      </c>
      <c r="AI21" s="44" t="n">
        <v>7.03</v>
      </c>
      <c r="AJ21" s="44" t="n">
        <v>240</v>
      </c>
      <c r="AK21" s="5" t="inlineStr">
        <is>
          <t>晴れ</t>
        </is>
      </c>
      <c r="AL21" s="5" t="inlineStr">
        <is>
          <t>雨</t>
        </is>
      </c>
      <c r="AM21" s="5" t="inlineStr">
        <is>
          <t>Yokoze</t>
        </is>
      </c>
      <c r="AN21" s="5" t="inlineStr">
        <is>
          <t>20260922</t>
        </is>
      </c>
      <c r="AO21" s="5" t="inlineStr">
        <is>
          <t>115</t>
        </is>
      </c>
      <c r="AP21" s="5" t="inlineStr">
        <is>
          <t>金仙寺湧水</t>
        </is>
      </c>
      <c r="AQ21" s="5" t="inlineStr">
        <is>
          <t>再測定7.03</t>
        </is>
      </c>
      <c r="AR21" s="5" t="inlineStr">
        <is>
          <t>outside_yokoze_town; elevation_difference_gt_20m; cfg_name_alias_reviewed</t>
        </is>
      </c>
      <c r="AS21" s="5" t="n">
        <v>21</v>
      </c>
      <c r="AT21" s="5" t="n">
        <v>11</v>
      </c>
      <c r="AU21" s="5" t="inlineStr">
        <is>
          <t>2026.09.21-22_荒川流域圏構想フィールドワーク.xlsx; Code for Ground データソン.xlsx</t>
        </is>
      </c>
    </row>
  </sheetData>
  <conditionalFormatting sqref="AS2:AS21">
    <cfRule type="containsText" priority="1" operator="containsText" dxfId="0" text="cfg_match_distance_gt_50m"/>
    <cfRule type="containsText" priority="2" operator="containsText" dxfId="1" text="outside_yokoze_town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21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2" customWidth="1" style="1" min="1" max="1"/>
    <col width="13" customWidth="1" style="1" min="2" max="2"/>
    <col width="13" customWidth="1" style="1" min="3" max="3"/>
    <col width="20" customWidth="1" style="1" min="4" max="4"/>
    <col width="30" customWidth="1" style="1" min="5" max="5"/>
    <col width="12" customWidth="1" style="1" min="6" max="6"/>
    <col width="14" customWidth="1" style="1" min="7" max="7"/>
    <col width="34" customWidth="1" style="1" min="8" max="8"/>
    <col width="34" customWidth="1" style="1" min="9" max="9"/>
    <col width="15" customWidth="1" style="1" min="10" max="10"/>
    <col width="13" customWidth="1" style="1" min="11" max="11"/>
    <col width="20" customWidth="1" style="1" min="12" max="12"/>
    <col width="10" customWidth="1" style="1" min="13" max="13"/>
    <col width="10" customWidth="1" style="1" min="14" max="14"/>
    <col width="14" customWidth="1" style="1" min="15" max="15"/>
    <col width="62" customWidth="1" style="1" min="16" max="16"/>
  </cols>
  <sheetData>
    <row r="1" ht="34" customHeight="1" s="1">
      <c r="A1" s="10" t="inlineStr">
        <is>
          <t>source_row</t>
        </is>
      </c>
      <c r="B1" s="11" t="inlineStr">
        <is>
          <t>latitude</t>
        </is>
      </c>
      <c r="C1" s="11" t="inlineStr">
        <is>
          <t>longitude</t>
        </is>
      </c>
      <c r="D1" s="11" t="inlineStr">
        <is>
          <t>observed_at</t>
        </is>
      </c>
      <c r="E1" s="11" t="inlineStr">
        <is>
          <t>address</t>
        </is>
      </c>
      <c r="F1" s="11" t="inlineStr">
        <is>
          <t>municipality</t>
        </is>
      </c>
      <c r="G1" s="11" t="inlineStr">
        <is>
          <t>elevation_m</t>
        </is>
      </c>
      <c r="H1" s="11" t="inlineStr">
        <is>
          <t>name_original</t>
        </is>
      </c>
      <c r="I1" s="11" t="inlineStr">
        <is>
          <t>name_normalized</t>
        </is>
      </c>
      <c r="J1" s="11" t="inlineStr">
        <is>
          <t>water_temp_c</t>
        </is>
      </c>
      <c r="K1" s="11" t="inlineStr">
        <is>
          <t>ec_ms_m</t>
        </is>
      </c>
      <c r="L1" s="11" t="inlineStr">
        <is>
          <t>conductivity_us_cm</t>
        </is>
      </c>
      <c r="M1" s="11" t="inlineStr">
        <is>
          <t>ph</t>
        </is>
      </c>
      <c r="N1" s="11" t="inlineStr">
        <is>
          <t>rph</t>
        </is>
      </c>
      <c r="O1" s="11" t="inlineStr">
        <is>
          <t>ph_difference</t>
        </is>
      </c>
      <c r="P1" s="12" t="inlineStr">
        <is>
          <t>remarks</t>
        </is>
      </c>
    </row>
    <row r="2" ht="22" customHeight="1" s="1">
      <c r="A2" s="5" t="n">
        <v>2</v>
      </c>
      <c r="B2" s="42" t="n">
        <v>35.986541</v>
      </c>
      <c r="C2" s="42" t="n">
        <v>139.102461</v>
      </c>
      <c r="D2" s="40" t="n">
        <v>46286.58487268518</v>
      </c>
      <c r="E2" s="5" t="inlineStr">
        <is>
          <t>埼玉県横瀬町横瀬1926</t>
        </is>
      </c>
      <c r="F2" s="5" t="inlineStr">
        <is>
          <t>横瀬町</t>
        </is>
      </c>
      <c r="G2" s="43" t="n">
        <v>225.72</v>
      </c>
      <c r="H2" s="5" t="inlineStr">
        <is>
          <t>雨水採水・測定</t>
        </is>
      </c>
      <c r="I2" s="5" t="inlineStr">
        <is>
          <t>雨水採水・測定</t>
        </is>
      </c>
      <c r="J2" s="43" t="n">
        <v>22.3</v>
      </c>
      <c r="K2" s="44" t="n">
        <v>1.193</v>
      </c>
      <c r="L2" s="44" t="n">
        <v>11.93</v>
      </c>
      <c r="M2" s="44" t="n">
        <v>6.3</v>
      </c>
      <c r="N2" s="44" t="n">
        <v>6.3</v>
      </c>
      <c r="O2" s="44" t="n">
        <v>0</v>
      </c>
      <c r="P2" s="5" t="inlineStr">
        <is>
          <t>Area898周辺に降り注いだ雨水</t>
        </is>
      </c>
    </row>
    <row r="3" ht="22" customHeight="1" s="1">
      <c r="A3" s="5" t="n">
        <v>3</v>
      </c>
      <c r="B3" s="42" t="n">
        <v>35.986541</v>
      </c>
      <c r="C3" s="42" t="n">
        <v>139.102461</v>
      </c>
      <c r="D3" s="40" t="n">
        <v>46286.58487268518</v>
      </c>
      <c r="E3" s="5" t="inlineStr">
        <is>
          <t>埼玉県横瀬町横瀬1926</t>
        </is>
      </c>
      <c r="F3" s="5" t="inlineStr">
        <is>
          <t>横瀬町</t>
        </is>
      </c>
      <c r="G3" s="43" t="n">
        <v>225.72</v>
      </c>
      <c r="H3" s="5" t="inlineStr">
        <is>
          <t>知知夫瀧坂水神社_御神水測定</t>
        </is>
      </c>
      <c r="I3" s="5" t="inlineStr">
        <is>
          <t>知知夫瀧坂水神社 御神水測定</t>
        </is>
      </c>
      <c r="J3" s="43" t="n">
        <v>16</v>
      </c>
      <c r="K3" s="44" t="n">
        <v>19.7</v>
      </c>
      <c r="L3" s="44" t="n">
        <v>197</v>
      </c>
      <c r="M3" s="44" t="n">
        <v>6.7</v>
      </c>
      <c r="N3" s="44" t="n">
        <v>7.1</v>
      </c>
      <c r="O3" s="44" t="n">
        <v>0.4</v>
      </c>
      <c r="P3" s="5" t="inlineStr">
        <is>
          <t>鈴賀さん採水の水</t>
        </is>
      </c>
    </row>
    <row r="4" ht="22" customHeight="1" s="1">
      <c r="A4" s="5" t="n">
        <v>4</v>
      </c>
      <c r="B4" s="42" t="n">
        <v>35.988683</v>
      </c>
      <c r="C4" s="42" t="n">
        <v>139.105341</v>
      </c>
      <c r="D4" s="40" t="n">
        <v>46286.6177662037</v>
      </c>
      <c r="E4" s="5" t="inlineStr">
        <is>
          <t>埼玉県横瀬町横瀬1902-8</t>
        </is>
      </c>
      <c r="F4" s="5" t="inlineStr">
        <is>
          <t>横瀬町</t>
        </is>
      </c>
      <c r="G4" s="43" t="n">
        <v>230.65</v>
      </c>
      <c r="H4" s="5" t="inlineStr">
        <is>
          <t>礫岩露頭</t>
        </is>
      </c>
      <c r="I4" s="5" t="inlineStr">
        <is>
          <t>礫岩露頭</t>
        </is>
      </c>
      <c r="J4" s="43" t="n"/>
      <c r="K4" s="44" t="n"/>
      <c r="L4" s="44" t="n"/>
      <c r="M4" s="44" t="n"/>
      <c r="N4" s="44" t="n"/>
      <c r="O4" s="44" t="n"/>
      <c r="P4" s="5" t="str"/>
    </row>
    <row r="5" ht="22" customHeight="1" s="1">
      <c r="A5" s="5" t="n">
        <v>5</v>
      </c>
      <c r="B5" s="42" t="n">
        <v>35.988763</v>
      </c>
      <c r="C5" s="42" t="n">
        <v>139.105161</v>
      </c>
      <c r="D5" s="40" t="n">
        <v>46286.62077546296</v>
      </c>
      <c r="E5" s="5" t="inlineStr">
        <is>
          <t>埼玉県横瀬町横瀬1902-8</t>
        </is>
      </c>
      <c r="F5" s="5" t="inlineStr">
        <is>
          <t>横瀬町</t>
        </is>
      </c>
      <c r="G5" s="43" t="n">
        <v>223.25</v>
      </c>
      <c r="H5" s="5" t="inlineStr">
        <is>
          <t>森側_モミの木</t>
        </is>
      </c>
      <c r="I5" s="5" t="inlineStr">
        <is>
          <t>森側 モミの木</t>
        </is>
      </c>
      <c r="J5" s="43" t="n"/>
      <c r="K5" s="44" t="n"/>
      <c r="L5" s="44" t="n"/>
      <c r="M5" s="44" t="n"/>
      <c r="N5" s="44" t="n"/>
      <c r="O5" s="44" t="n"/>
      <c r="P5" s="5" t="str"/>
    </row>
    <row r="6" ht="22" customHeight="1" s="1">
      <c r="A6" s="5" t="n">
        <v>6</v>
      </c>
      <c r="B6" s="42" t="n">
        <v>35.988827</v>
      </c>
      <c r="C6" s="42" t="n">
        <v>139.105233</v>
      </c>
      <c r="D6" s="40" t="n">
        <v>46286.63423611111</v>
      </c>
      <c r="E6" s="5" t="inlineStr">
        <is>
          <t>埼玉県横瀬町横瀬1865-6</t>
        </is>
      </c>
      <c r="F6" s="5" t="inlineStr">
        <is>
          <t>横瀬町</t>
        </is>
      </c>
      <c r="G6" s="43" t="n">
        <v>223.03</v>
      </c>
      <c r="H6" s="5" t="inlineStr">
        <is>
          <t>森側_斜面端部の湧水</t>
        </is>
      </c>
      <c r="I6" s="5" t="inlineStr">
        <is>
          <t>森側 斜面端部の湧水</t>
        </is>
      </c>
      <c r="J6" s="43" t="n">
        <v>19.4</v>
      </c>
      <c r="K6" s="44" t="n">
        <v>21.8</v>
      </c>
      <c r="L6" s="44" t="n">
        <v>218</v>
      </c>
      <c r="M6" s="44" t="n">
        <v>6.9</v>
      </c>
      <c r="N6" s="44" t="n">
        <v>7.2</v>
      </c>
      <c r="O6" s="44" t="n">
        <v>0.3</v>
      </c>
      <c r="P6" s="5" t="inlineStr">
        <is>
          <t>サーモグラフィーカメラで見つけた水たまり</t>
        </is>
      </c>
    </row>
    <row r="7" ht="22" customHeight="1" s="1">
      <c r="A7" s="5" t="n">
        <v>7</v>
      </c>
      <c r="B7" s="42" t="n">
        <v>35.997766</v>
      </c>
      <c r="C7" s="42" t="n">
        <v>139.089245</v>
      </c>
      <c r="D7" s="40" t="n">
        <v>46287.42047453704</v>
      </c>
      <c r="E7" s="5" t="inlineStr">
        <is>
          <t>埼玉県秩父市大宮4625</t>
        </is>
      </c>
      <c r="F7" s="5" t="inlineStr">
        <is>
          <t>秩父市</t>
        </is>
      </c>
      <c r="G7" s="43" t="n">
        <v>230.09</v>
      </c>
      <c r="H7" s="5" t="inlineStr">
        <is>
          <t>道の駅_ちちぶの水</t>
        </is>
      </c>
      <c r="I7" s="5" t="inlineStr">
        <is>
          <t>道の駅 ちちぶの水</t>
        </is>
      </c>
      <c r="J7" s="43" t="n">
        <v>18.2</v>
      </c>
      <c r="K7" s="44" t="n">
        <v>12.02</v>
      </c>
      <c r="L7" s="44" t="n">
        <v>120.2</v>
      </c>
      <c r="M7" s="44" t="n">
        <v>7.3</v>
      </c>
      <c r="N7" s="44" t="n">
        <v>7.4</v>
      </c>
      <c r="O7" s="44" t="n">
        <v>0.1</v>
      </c>
      <c r="P7" s="5" t="inlineStr">
        <is>
          <t>橋立浄水場から引いた水道水</t>
        </is>
      </c>
    </row>
    <row r="8" ht="22" customHeight="1" s="1">
      <c r="A8" s="5" t="n">
        <v>8</v>
      </c>
      <c r="B8" s="42" t="n">
        <v>35.997807</v>
      </c>
      <c r="C8" s="42" t="n">
        <v>139.083875</v>
      </c>
      <c r="D8" s="40" t="n">
        <v>46287.43890046296</v>
      </c>
      <c r="E8" s="5" t="inlineStr">
        <is>
          <t>埼玉県秩父市番場町1-23</t>
        </is>
      </c>
      <c r="F8" s="5" t="inlineStr">
        <is>
          <t>秩父市</t>
        </is>
      </c>
      <c r="G8" s="43" t="n">
        <v>226.59</v>
      </c>
      <c r="H8" s="5" t="inlineStr">
        <is>
          <t>秩父神社_乾の井戸</t>
        </is>
      </c>
      <c r="I8" s="5" t="inlineStr">
        <is>
          <t>秩父神社 乾の井戸</t>
        </is>
      </c>
      <c r="J8" s="43" t="n">
        <v>22.3</v>
      </c>
      <c r="K8" s="44" t="n">
        <v>17.48</v>
      </c>
      <c r="L8" s="44" t="n">
        <v>174.8</v>
      </c>
      <c r="M8" s="44" t="n">
        <v>6.2</v>
      </c>
      <c r="N8" s="44" t="n">
        <v>7.2</v>
      </c>
      <c r="O8" s="44" t="n">
        <v>1</v>
      </c>
      <c r="P8" s="5" t="inlineStr">
        <is>
          <t>境内裏手の柞（ははそのもり）の森にある、決して枯れないとされる浅井戸。手押しポンプ稼働時間が少ないため、水温は参考値。</t>
        </is>
      </c>
    </row>
    <row r="9" ht="22" customHeight="1" s="1">
      <c r="A9" s="5" t="n">
        <v>9</v>
      </c>
      <c r="B9" s="42" t="n">
        <v>36.001536</v>
      </c>
      <c r="C9" s="42" t="n">
        <v>139.088746</v>
      </c>
      <c r="D9" s="40" t="n">
        <v>46287.45016203704</v>
      </c>
      <c r="E9" s="5" t="inlineStr">
        <is>
          <t>埼玉県秩父市上宮地町17-23</t>
        </is>
      </c>
      <c r="F9" s="5" t="inlineStr">
        <is>
          <t>秩父市</t>
        </is>
      </c>
      <c r="G9" s="43" t="n">
        <v>223.23</v>
      </c>
      <c r="H9" s="5" t="inlineStr">
        <is>
          <t>妙見七つ井戸_七の井戸（今重の井戸）</t>
        </is>
      </c>
      <c r="I9" s="5" t="inlineStr">
        <is>
          <t>妙見七つ井戸 七の井戸（今重の井戸）</t>
        </is>
      </c>
      <c r="J9" s="43" t="n">
        <v>20.6</v>
      </c>
      <c r="K9" s="44" t="n">
        <v>29.4</v>
      </c>
      <c r="L9" s="44" t="n">
        <v>294</v>
      </c>
      <c r="M9" s="44" t="n">
        <v>6.9</v>
      </c>
      <c r="N9" s="44" t="n">
        <v>7.3</v>
      </c>
      <c r="O9" s="44" t="n">
        <v>0.4</v>
      </c>
      <c r="P9" s="5" t="inlineStr">
        <is>
          <t>妙見菩薩が秩父神社に合祀された際、宮地の妙見宮から秩父神社まで渡っていったとされる七つ井戸（北斗七星になぞらえた）。
かつては豊富な湧水があり主に「染め糸のすすぎ」などの作業に使われていた。</t>
        </is>
      </c>
    </row>
    <row r="10" ht="22" customHeight="1" s="1">
      <c r="A10" s="5" t="n">
        <v>10</v>
      </c>
      <c r="B10" s="42" t="n">
        <v>36.003302</v>
      </c>
      <c r="C10" s="42" t="n">
        <v>139.088855</v>
      </c>
      <c r="D10" s="40" t="n">
        <v>46287.46030092592</v>
      </c>
      <c r="E10" s="5" t="inlineStr">
        <is>
          <t>埼玉県秩父市上宮地町15-10</t>
        </is>
      </c>
      <c r="F10" s="5" t="inlineStr">
        <is>
          <t>秩父市</t>
        </is>
      </c>
      <c r="G10" s="43" t="n">
        <v>222.17</v>
      </c>
      <c r="H10" s="5" t="inlineStr">
        <is>
          <t>妙見七つ井戸_六の井戸（みざわの井戸）</t>
        </is>
      </c>
      <c r="I10" s="5" t="inlineStr">
        <is>
          <t>妙見七つ井戸 六の井戸（みざわの井戸）</t>
        </is>
      </c>
      <c r="J10" s="43" t="n"/>
      <c r="K10" s="44" t="n"/>
      <c r="L10" s="44" t="n"/>
      <c r="M10" s="44" t="n"/>
      <c r="N10" s="44" t="n"/>
      <c r="O10" s="44" t="n"/>
      <c r="P10" s="5" t="inlineStr">
        <is>
          <t>個人宅（農家）の敷地内（私有地）にあり、クレソンが自生する湧水池。水量は豊富でトンボの産卵場になっている。</t>
        </is>
      </c>
    </row>
    <row r="11" ht="22" customHeight="1" s="1">
      <c r="A11" s="5" t="n">
        <v>11</v>
      </c>
      <c r="B11" s="42" t="n">
        <v>36.004209</v>
      </c>
      <c r="C11" s="42" t="n">
        <v>139.089435</v>
      </c>
      <c r="D11" s="40" t="n">
        <v>46287.4652199074</v>
      </c>
      <c r="E11" s="5" t="inlineStr">
        <is>
          <t>埼玉県秩父市中宮地町3</t>
        </is>
      </c>
      <c r="F11" s="5" t="inlineStr">
        <is>
          <t>秩父市</t>
        </is>
      </c>
      <c r="G11" s="43" t="n">
        <v>221.79</v>
      </c>
      <c r="H11" s="5" t="inlineStr">
        <is>
          <t>湧水池</t>
        </is>
      </c>
      <c r="I11" s="5" t="inlineStr">
        <is>
          <t>湧水池</t>
        </is>
      </c>
      <c r="J11" s="43" t="n"/>
      <c r="K11" s="44" t="n"/>
      <c r="L11" s="44" t="n"/>
      <c r="M11" s="44" t="n"/>
      <c r="N11" s="44" t="n"/>
      <c r="O11" s="44" t="n"/>
      <c r="P11" s="5" t="inlineStr">
        <is>
          <t>段丘の低崖付近にあり、住宅地の一角にある祠が祀られた湧水池。フェンスで囲まれており立入りできない。</t>
        </is>
      </c>
    </row>
    <row r="12" ht="22" customHeight="1" s="1">
      <c r="A12" s="5" t="n">
        <v>12</v>
      </c>
      <c r="B12" s="42" t="n">
        <v>36.004091</v>
      </c>
      <c r="C12" s="42" t="n">
        <v>139.089224</v>
      </c>
      <c r="D12" s="40" t="n">
        <v>46287.46864583333</v>
      </c>
      <c r="E12" s="5" t="inlineStr">
        <is>
          <t>埼玉県秩父市上宮地町14-7</t>
        </is>
      </c>
      <c r="F12" s="5" t="inlineStr">
        <is>
          <t>秩父市</t>
        </is>
      </c>
      <c r="G12" s="43" t="n">
        <v>221.3</v>
      </c>
      <c r="H12" s="5" t="inlineStr">
        <is>
          <t>湧水の水路</t>
        </is>
      </c>
      <c r="I12" s="5" t="inlineStr">
        <is>
          <t>湧水の水路</t>
        </is>
      </c>
      <c r="J12" s="43" t="n">
        <v>21.4</v>
      </c>
      <c r="K12" s="44" t="n">
        <v>30.2</v>
      </c>
      <c r="L12" s="44" t="n">
        <v>302</v>
      </c>
      <c r="M12" s="44" t="n">
        <v>6.9</v>
      </c>
      <c r="N12" s="44" t="n">
        <v>7.4</v>
      </c>
      <c r="O12" s="44" t="n">
        <v>0.5</v>
      </c>
      <c r="P12" s="5" t="inlineStr">
        <is>
          <t>段丘の低崖付近から湧出する地下水を集水。ザリガニやカワエビ、カワニナなど水生生物が多く観察される。</t>
        </is>
      </c>
    </row>
    <row r="13" ht="22" customHeight="1" s="1">
      <c r="A13" s="5" t="n">
        <v>13</v>
      </c>
      <c r="B13" s="42" t="n">
        <v>36.005537</v>
      </c>
      <c r="C13" s="42" t="n">
        <v>139.090301</v>
      </c>
      <c r="D13" s="40" t="n">
        <v>46287.47568287037</v>
      </c>
      <c r="E13" s="5" t="inlineStr">
        <is>
          <t>埼玉県秩父市中宮地町9-2</t>
        </is>
      </c>
      <c r="F13" s="5" t="inlineStr">
        <is>
          <t>秩父市</t>
        </is>
      </c>
      <c r="G13" s="43" t="n">
        <v>221.29</v>
      </c>
      <c r="H13" s="5" t="inlineStr">
        <is>
          <t>妙見七つ井戸_五の井戸（あらゐの井戸）</t>
        </is>
      </c>
      <c r="I13" s="5" t="inlineStr">
        <is>
          <t>妙見七つ井戸 五の井戸（あらゐの井戸）</t>
        </is>
      </c>
      <c r="J13" s="43" t="n">
        <v>20.7</v>
      </c>
      <c r="K13" s="44" t="n">
        <v>29.5</v>
      </c>
      <c r="L13" s="44" t="n">
        <v>295</v>
      </c>
      <c r="M13" s="44" t="n">
        <v>6.8</v>
      </c>
      <c r="N13" s="44" t="n">
        <v>7.4</v>
      </c>
      <c r="O13" s="44" t="n">
        <v>0.6</v>
      </c>
      <c r="P13" s="5" t="inlineStr">
        <is>
          <t>現在でも湧出量が豊富で、野菜の洗い場などとして利用される。マス内には鯉が遊泳している。</t>
        </is>
      </c>
    </row>
    <row r="14" ht="22" customHeight="1" s="1">
      <c r="A14" s="5" t="n">
        <v>14</v>
      </c>
      <c r="B14" s="42" t="n">
        <v>36.005796</v>
      </c>
      <c r="C14" s="42" t="n">
        <v>139.090465</v>
      </c>
      <c r="D14" s="40" t="n">
        <v>46287.47798611111</v>
      </c>
      <c r="E14" s="5" t="inlineStr">
        <is>
          <t>埼玉県秩父市中宮地町9-4</t>
        </is>
      </c>
      <c r="F14" s="5" t="inlineStr">
        <is>
          <t>秩父市</t>
        </is>
      </c>
      <c r="G14" s="43" t="n">
        <v>221.25</v>
      </c>
      <c r="H14" s="5" t="inlineStr">
        <is>
          <t>湧水</t>
        </is>
      </c>
      <c r="I14" s="5" t="inlineStr">
        <is>
          <t>湧水</t>
        </is>
      </c>
      <c r="J14" s="43" t="n"/>
      <c r="K14" s="44" t="n"/>
      <c r="L14" s="44" t="n"/>
      <c r="M14" s="44" t="n"/>
      <c r="N14" s="44" t="n"/>
      <c r="O14" s="44" t="n"/>
      <c r="P14" s="5" t="inlineStr">
        <is>
          <t>住宅地の一角から湧出する水路。</t>
        </is>
      </c>
    </row>
    <row r="15" ht="22" customHeight="1" s="1">
      <c r="A15" s="5" t="n">
        <v>15</v>
      </c>
      <c r="B15" s="42" t="n">
        <v>36.006153</v>
      </c>
      <c r="C15" s="42" t="n">
        <v>139.09061</v>
      </c>
      <c r="D15" s="40" t="n">
        <v>46287.47875</v>
      </c>
      <c r="E15" s="5" t="inlineStr">
        <is>
          <t>埼玉県秩父市中宮地町9-7</t>
        </is>
      </c>
      <c r="F15" s="5" t="inlineStr">
        <is>
          <t>秩父市</t>
        </is>
      </c>
      <c r="G15" s="43" t="n">
        <v>221.85</v>
      </c>
      <c r="H15" s="5" t="inlineStr">
        <is>
          <t>亀の祠</t>
        </is>
      </c>
      <c r="I15" s="5" t="inlineStr">
        <is>
          <t>亀の祠</t>
        </is>
      </c>
      <c r="J15" s="43" t="n"/>
      <c r="K15" s="44" t="n"/>
      <c r="L15" s="44" t="n"/>
      <c r="M15" s="44" t="n"/>
      <c r="N15" s="44" t="n"/>
      <c r="O15" s="44" t="n"/>
      <c r="P15" s="5" t="inlineStr">
        <is>
          <t>段丘の低崖付近にあり、中宮地町の住宅軒先に祀られた亀の祠</t>
        </is>
      </c>
    </row>
    <row r="16" ht="22" customHeight="1" s="1">
      <c r="A16" s="5" t="n">
        <v>16</v>
      </c>
      <c r="B16" s="42" t="n">
        <v>36.00657</v>
      </c>
      <c r="C16" s="42" t="n">
        <v>139.090911</v>
      </c>
      <c r="D16" s="40" t="n">
        <v>46287.48083333333</v>
      </c>
      <c r="E16" s="5" t="inlineStr">
        <is>
          <t>埼玉県秩父市中宮地町20-2</t>
        </is>
      </c>
      <c r="F16" s="5" t="inlineStr">
        <is>
          <t>秩父市</t>
        </is>
      </c>
      <c r="G16" s="43" t="n">
        <v>220.18</v>
      </c>
      <c r="H16" s="5" t="inlineStr">
        <is>
          <t>妙見七つ井戸_四の井戸（下堀の井戸）</t>
        </is>
      </c>
      <c r="I16" s="5" t="inlineStr">
        <is>
          <t>妙見七つ井戸 四の井戸（下堀の井戸）</t>
        </is>
      </c>
      <c r="J16" s="43" t="n">
        <v>20.6</v>
      </c>
      <c r="K16" s="44" t="n">
        <v>30.8</v>
      </c>
      <c r="L16" s="44" t="n">
        <v>308</v>
      </c>
      <c r="M16" s="44" t="n">
        <v>6.7</v>
      </c>
      <c r="N16" s="44" t="n">
        <v>7.3</v>
      </c>
      <c r="O16" s="44" t="n">
        <v>0.6</v>
      </c>
      <c r="P16" s="5" t="inlineStr">
        <is>
          <t>段丘の低崖端部に位置。かつてはけやきの根元から湧出し、七ツ井戸で最も湧出量が豊富であったが、現在は当時の1/3程度。枯渇経験あり。</t>
        </is>
      </c>
    </row>
    <row r="17" ht="22" customHeight="1" s="1">
      <c r="A17" s="5" t="n">
        <v>17</v>
      </c>
      <c r="B17" s="42" t="n">
        <v>36.007535</v>
      </c>
      <c r="C17" s="42" t="n">
        <v>139.091416</v>
      </c>
      <c r="D17" s="40" t="n">
        <v>46287.57225694445</v>
      </c>
      <c r="E17" s="5" t="inlineStr">
        <is>
          <t>埼玉県秩父市中宮地町25-34</t>
        </is>
      </c>
      <c r="F17" s="5" t="inlineStr">
        <is>
          <t>秩父市</t>
        </is>
      </c>
      <c r="G17" s="43" t="n">
        <v>219.93</v>
      </c>
      <c r="H17" s="5" t="inlineStr">
        <is>
          <t>妙見七つ井戸_三の井戸（子育ての井戸）</t>
        </is>
      </c>
      <c r="I17" s="5" t="inlineStr">
        <is>
          <t>妙見七つ井戸 三の井戸（子育ての井戸）</t>
        </is>
      </c>
      <c r="J17" s="43" t="n">
        <v>21.3</v>
      </c>
      <c r="K17" s="44" t="n">
        <v>28.8</v>
      </c>
      <c r="L17" s="44" t="n">
        <v>288</v>
      </c>
      <c r="M17" s="44" t="n">
        <v>6.8</v>
      </c>
      <c r="N17" s="44" t="n">
        <v>7.3</v>
      </c>
      <c r="O17" s="44" t="n">
        <v>0.5</v>
      </c>
      <c r="P17" s="5" t="inlineStr">
        <is>
          <t>段丘の低崖付近にあり、この水でご飯を炊くと乳の出が良くなるとの言い伝えがある。湧出量は減少しているそう。</t>
        </is>
      </c>
    </row>
    <row r="18" ht="22" customHeight="1" s="1">
      <c r="A18" s="5" t="n">
        <v>18</v>
      </c>
      <c r="B18" s="42" t="n">
        <v>36.009</v>
      </c>
      <c r="C18" s="42" t="n">
        <v>139.09259</v>
      </c>
      <c r="D18" s="40" t="n">
        <v>46287.58414351852</v>
      </c>
      <c r="E18" s="5" t="inlineStr">
        <is>
          <t>埼玉県秩父市中宮地町34-8</t>
        </is>
      </c>
      <c r="F18" s="5" t="inlineStr">
        <is>
          <t>秩父市</t>
        </is>
      </c>
      <c r="G18" s="43" t="n">
        <v>219.53</v>
      </c>
      <c r="H18" s="5" t="inlineStr">
        <is>
          <t>妙見七つ井戸_二の井戸（井之上の井戸）</t>
        </is>
      </c>
      <c r="I18" s="5" t="inlineStr">
        <is>
          <t>妙見七つ井戸 二の井戸（井之上の井戸）</t>
        </is>
      </c>
      <c r="J18" s="43" t="n">
        <v>20.6</v>
      </c>
      <c r="K18" s="44" t="n">
        <v>9.210000000000001</v>
      </c>
      <c r="L18" s="44" t="n">
        <v>92.09999999999999</v>
      </c>
      <c r="M18" s="44" t="n">
        <v>5.9</v>
      </c>
      <c r="N18" s="44" t="n">
        <v>7.1</v>
      </c>
      <c r="O18" s="44" t="n">
        <v>1.2</v>
      </c>
      <c r="P18" s="5" t="inlineStr">
        <is>
          <t>段丘の低崖端部に位置。かつては水田や畑での農作業に利用。元々は石垣下端から湧出してたが、現在の姿は当時の形を復元したもの。</t>
        </is>
      </c>
    </row>
    <row r="19" ht="22" customHeight="1" s="1">
      <c r="A19" s="5" t="n">
        <v>19</v>
      </c>
      <c r="B19" s="42" t="n">
        <v>35.99448</v>
      </c>
      <c r="C19" s="42" t="n">
        <v>139.080127</v>
      </c>
      <c r="D19" s="40" t="n">
        <v>46287.60321759259</v>
      </c>
      <c r="E19" s="5" t="inlineStr">
        <is>
          <t>埼玉県秩父市中町16-3</t>
        </is>
      </c>
      <c r="F19" s="5" t="inlineStr">
        <is>
          <t>秩父市</t>
        </is>
      </c>
      <c r="G19" s="43" t="n">
        <v>225.67</v>
      </c>
      <c r="H19" s="5" t="inlineStr">
        <is>
          <t>井戸</t>
        </is>
      </c>
      <c r="I19" s="5" t="inlineStr">
        <is>
          <t>井戸</t>
        </is>
      </c>
      <c r="J19" s="43" t="n"/>
      <c r="K19" s="44" t="n"/>
      <c r="L19" s="44" t="n"/>
      <c r="M19" s="44" t="n"/>
      <c r="N19" s="44" t="n"/>
      <c r="O19" s="44" t="n"/>
      <c r="P19" s="5" t="str"/>
    </row>
    <row r="20" ht="22" customHeight="1" s="1">
      <c r="A20" s="5" t="n">
        <v>20</v>
      </c>
      <c r="B20" s="42" t="n">
        <v>35.994571</v>
      </c>
      <c r="C20" s="42" t="n">
        <v>139.080357</v>
      </c>
      <c r="D20" s="40" t="n">
        <v>46287.6049537037</v>
      </c>
      <c r="E20" s="5" t="inlineStr">
        <is>
          <t>埼玉県秩父市中町16-2</t>
        </is>
      </c>
      <c r="F20" s="5" t="inlineStr">
        <is>
          <t>秩父市</t>
        </is>
      </c>
      <c r="G20" s="43" t="n">
        <v>226.98</v>
      </c>
      <c r="H20" s="5" t="inlineStr">
        <is>
          <t>秩父今宮神社_清龍の滝</t>
        </is>
      </c>
      <c r="I20" s="5" t="inlineStr">
        <is>
          <t>秩父今宮神社 清龍の滝</t>
        </is>
      </c>
      <c r="J20" s="43" t="n">
        <v>20.5</v>
      </c>
      <c r="K20" s="44" t="n">
        <v>26.5</v>
      </c>
      <c r="L20" s="44" t="n">
        <v>265</v>
      </c>
      <c r="M20" s="44" t="n">
        <v>6.8</v>
      </c>
      <c r="N20" s="44" t="n">
        <v>7.5</v>
      </c>
      <c r="O20" s="44" t="n">
        <v>0.7</v>
      </c>
      <c r="P20" s="5" t="inlineStr">
        <is>
          <t>段丘の低崖付近にあり、武甲山の伏流水が湧き出る名水で、環境省の「平成の名水百選」に選定された。</t>
        </is>
      </c>
    </row>
    <row r="21" ht="22" customHeight="1" s="1">
      <c r="A21" s="5" t="n">
        <v>21</v>
      </c>
      <c r="B21" s="42" t="n">
        <v>35.987823</v>
      </c>
      <c r="C21" s="42" t="n">
        <v>139.071677</v>
      </c>
      <c r="D21" s="40" t="n">
        <v>46287.63265046296</v>
      </c>
      <c r="E21" s="5" t="inlineStr">
        <is>
          <t>埼玉県秩父市井戸尻橋</t>
        </is>
      </c>
      <c r="F21" s="5" t="inlineStr">
        <is>
          <t>秩父市</t>
        </is>
      </c>
      <c r="G21" s="43" t="n">
        <v>211.78</v>
      </c>
      <c r="H21" s="5" t="inlineStr">
        <is>
          <t>知知夫瀧坂水神社_御神水</t>
        </is>
      </c>
      <c r="I21" s="5" t="inlineStr">
        <is>
          <t>知知夫瀧坂水神社 御神水</t>
        </is>
      </c>
      <c r="J21" s="43" t="n">
        <v>16.1</v>
      </c>
      <c r="K21" s="44" t="n">
        <v>21.4</v>
      </c>
      <c r="L21" s="44" t="n">
        <v>214</v>
      </c>
      <c r="M21" s="44" t="n">
        <v>6.3</v>
      </c>
      <c r="N21" s="44" t="n">
        <v>7.3</v>
      </c>
      <c r="O21" s="44" t="n">
        <v>1</v>
      </c>
      <c r="P21" s="5" t="inlineStr">
        <is>
          <t>押堀川に架かる井戸尻橋の水道水源施設から200m程上流の左岸斜面から豊富に湧出する。武甲山の伏流水と伝えられており、水場には、 小さな祠がある。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T11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2" customWidth="1" style="1" min="1" max="1"/>
    <col width="20" customWidth="1" style="1" min="2" max="2"/>
    <col width="14" customWidth="1" style="1" min="3" max="3"/>
    <col width="14" customWidth="1" style="1" min="4" max="4"/>
    <col width="13" customWidth="1" style="1" min="5" max="5"/>
    <col width="10" customWidth="1" style="1" min="6" max="6"/>
    <col width="14" customWidth="1" style="1" min="7" max="7"/>
    <col width="12" customWidth="1" style="1" min="8" max="8"/>
    <col width="13" customWidth="1" style="1" min="9" max="9"/>
    <col width="13" customWidth="1" style="1" min="10" max="10"/>
    <col width="14" customWidth="1" style="1" min="11" max="11"/>
    <col width="15" customWidth="1" style="1" min="12" max="12"/>
    <col width="13" customWidth="1" style="1" min="13" max="13"/>
    <col width="15" customWidth="1" style="1" min="14" max="14"/>
    <col width="20" customWidth="1" style="1" min="15" max="15"/>
    <col width="10" customWidth="1" style="1" min="16" max="16"/>
    <col width="12" customWidth="1" style="1" min="17" max="17"/>
    <col width="12" customWidth="1" style="1" min="18" max="18"/>
    <col width="28" customWidth="1" style="1" min="19" max="19"/>
    <col width="24" customWidth="1" style="1" min="20" max="20"/>
  </cols>
  <sheetData>
    <row r="1" ht="34" customHeight="1" s="1">
      <c r="A1" s="10" t="inlineStr">
        <is>
          <t>source_row</t>
        </is>
      </c>
      <c r="B1" s="11" t="inlineStr">
        <is>
          <t>observed_at</t>
        </is>
      </c>
      <c r="C1" s="11" t="inlineStr">
        <is>
          <t>field_id</t>
        </is>
      </c>
      <c r="D1" s="11" t="inlineStr">
        <is>
          <t>event_id</t>
        </is>
      </c>
      <c r="E1" s="11" t="inlineStr">
        <is>
          <t>observed_date</t>
        </is>
      </c>
      <c r="F1" s="11" t="inlineStr">
        <is>
          <t>weather</t>
        </is>
      </c>
      <c r="G1" s="11" t="inlineStr">
        <is>
          <t>previous_weather</t>
        </is>
      </c>
      <c r="H1" s="11" t="inlineStr">
        <is>
          <t>device_id</t>
        </is>
      </c>
      <c r="I1" s="11" t="inlineStr">
        <is>
          <t>latitude</t>
        </is>
      </c>
      <c r="J1" s="11" t="inlineStr">
        <is>
          <t>longitude</t>
        </is>
      </c>
      <c r="K1" s="11" t="inlineStr">
        <is>
          <t>elevation_m</t>
        </is>
      </c>
      <c r="L1" s="11" t="inlineStr">
        <is>
          <t>nitrate_mg_l</t>
        </is>
      </c>
      <c r="M1" s="11" t="inlineStr">
        <is>
          <t>nitrate_mv</t>
        </is>
      </c>
      <c r="N1" s="11" t="inlineStr">
        <is>
          <t>water_temp_c</t>
        </is>
      </c>
      <c r="O1" s="11" t="inlineStr">
        <is>
          <t>conductivity_us_cm</t>
        </is>
      </c>
      <c r="P1" s="11" t="inlineStr">
        <is>
          <t>ph</t>
        </is>
      </c>
      <c r="Q1" s="11" t="inlineStr">
        <is>
          <t>ph_retest</t>
        </is>
      </c>
      <c r="R1" s="11" t="inlineStr">
        <is>
          <t>orp_mv</t>
        </is>
      </c>
      <c r="S1" s="11" t="inlineStr">
        <is>
          <t>location_label</t>
        </is>
      </c>
      <c r="T1" s="12" t="inlineStr">
        <is>
          <t>note</t>
        </is>
      </c>
    </row>
    <row r="2" ht="22" customHeight="1" s="1">
      <c r="A2" s="5" t="n">
        <v>2</v>
      </c>
      <c r="B2" s="40" t="n">
        <v>46287.41974537037</v>
      </c>
      <c r="C2" s="5" t="inlineStr">
        <is>
          <t>Yokoze</t>
        </is>
      </c>
      <c r="D2" s="5" t="inlineStr">
        <is>
          <t>20260922</t>
        </is>
      </c>
      <c r="E2" s="41" t="n">
        <v>46287</v>
      </c>
      <c r="F2" s="5" t="inlineStr">
        <is>
          <t>晴れ</t>
        </is>
      </c>
      <c r="G2" s="5" t="inlineStr">
        <is>
          <t>雨</t>
        </is>
      </c>
      <c r="H2" s="5" t="inlineStr">
        <is>
          <t>115</t>
        </is>
      </c>
      <c r="I2" s="42" t="n">
        <v>35.997339</v>
      </c>
      <c r="J2" s="42" t="n">
        <v>139.088772</v>
      </c>
      <c r="K2" s="43" t="n">
        <v>274.4</v>
      </c>
      <c r="L2" s="44" t="n">
        <v>4.762</v>
      </c>
      <c r="M2" s="44" t="n">
        <v>103</v>
      </c>
      <c r="N2" s="43" t="n">
        <v>24</v>
      </c>
      <c r="O2" s="44" t="n">
        <v>129</v>
      </c>
      <c r="P2" s="44" t="n">
        <v>7.77</v>
      </c>
      <c r="Q2" s="44" t="n"/>
      <c r="R2" s="44" t="n">
        <v>258</v>
      </c>
      <c r="S2" s="5" t="inlineStr">
        <is>
          <t>ちちぶの水</t>
        </is>
      </c>
      <c r="T2" s="5" t="str"/>
    </row>
    <row r="3" ht="22" customHeight="1" s="1">
      <c r="A3" s="5" t="n">
        <v>3</v>
      </c>
      <c r="B3" s="40" t="n">
        <v>46287.43873842592</v>
      </c>
      <c r="C3" s="5" t="inlineStr">
        <is>
          <t>Yokoze</t>
        </is>
      </c>
      <c r="D3" s="5" t="inlineStr">
        <is>
          <t>20260922</t>
        </is>
      </c>
      <c r="E3" s="41" t="n">
        <v>46287</v>
      </c>
      <c r="F3" s="5" t="inlineStr">
        <is>
          <t>晴れ</t>
        </is>
      </c>
      <c r="G3" s="5" t="inlineStr">
        <is>
          <t>雨</t>
        </is>
      </c>
      <c r="H3" s="5" t="inlineStr">
        <is>
          <t>115</t>
        </is>
      </c>
      <c r="I3" s="42" t="n">
        <v>35.998611</v>
      </c>
      <c r="J3" s="42" t="n">
        <v>139.084059</v>
      </c>
      <c r="K3" s="43" t="n">
        <v>268.5</v>
      </c>
      <c r="L3" s="44" t="n">
        <v>4.85</v>
      </c>
      <c r="M3" s="44" t="n">
        <v>103</v>
      </c>
      <c r="N3" s="43" t="n">
        <v>25.3</v>
      </c>
      <c r="O3" s="44" t="n">
        <v>189</v>
      </c>
      <c r="P3" s="44" t="n">
        <v>7.11</v>
      </c>
      <c r="Q3" s="44" t="n"/>
      <c r="R3" s="44" t="n">
        <v>270</v>
      </c>
      <c r="S3" s="5" t="inlineStr">
        <is>
          <t>秩父神社 乾の井戸</t>
        </is>
      </c>
      <c r="T3" s="5" t="str"/>
    </row>
    <row r="4" ht="22" customHeight="1" s="1">
      <c r="A4" s="5" t="n">
        <v>4</v>
      </c>
      <c r="B4" s="40" t="n">
        <v>46287.45556712963</v>
      </c>
      <c r="C4" s="5" t="inlineStr">
        <is>
          <t>Yokoze</t>
        </is>
      </c>
      <c r="D4" s="5" t="inlineStr">
        <is>
          <t>20260922</t>
        </is>
      </c>
      <c r="E4" s="41" t="n">
        <v>46287</v>
      </c>
      <c r="F4" s="5" t="inlineStr">
        <is>
          <t>晴れ</t>
        </is>
      </c>
      <c r="G4" s="5" t="inlineStr">
        <is>
          <t>雨</t>
        </is>
      </c>
      <c r="H4" s="5" t="inlineStr">
        <is>
          <t>115</t>
        </is>
      </c>
      <c r="I4" s="42" t="n">
        <v>36.001928</v>
      </c>
      <c r="J4" s="42" t="n">
        <v>139.088857</v>
      </c>
      <c r="K4" s="43" t="n">
        <v>268.2</v>
      </c>
      <c r="L4" s="44" t="n">
        <v>29.778</v>
      </c>
      <c r="M4" s="44" t="n">
        <v>79</v>
      </c>
      <c r="N4" s="43" t="n">
        <v>26.4</v>
      </c>
      <c r="O4" s="44" t="n">
        <v>313</v>
      </c>
      <c r="P4" s="44" t="n">
        <v>7.2</v>
      </c>
      <c r="Q4" s="44" t="n"/>
      <c r="R4" s="44" t="n">
        <v>283</v>
      </c>
      <c r="S4" s="5" t="inlineStr">
        <is>
          <t>妙見七の井戸</t>
        </is>
      </c>
      <c r="T4" s="5" t="str"/>
    </row>
    <row r="5" ht="22" customHeight="1" s="1">
      <c r="A5" s="5" t="n">
        <v>5</v>
      </c>
      <c r="B5" s="40" t="n">
        <v>46287.46747685185</v>
      </c>
      <c r="C5" s="5" t="inlineStr">
        <is>
          <t>Yokoze</t>
        </is>
      </c>
      <c r="D5" s="5" t="inlineStr">
        <is>
          <t>20260922</t>
        </is>
      </c>
      <c r="E5" s="41" t="n">
        <v>46287</v>
      </c>
      <c r="F5" s="5" t="inlineStr">
        <is>
          <t>晴れ</t>
        </is>
      </c>
      <c r="G5" s="5" t="inlineStr">
        <is>
          <t>雨</t>
        </is>
      </c>
      <c r="H5" s="5" t="inlineStr">
        <is>
          <t>115</t>
        </is>
      </c>
      <c r="I5" s="42" t="n">
        <v>36.004066</v>
      </c>
      <c r="J5" s="42" t="n">
        <v>139.089214</v>
      </c>
      <c r="K5" s="43" t="n">
        <v>266.5</v>
      </c>
      <c r="L5" s="44" t="n">
        <v>29.778</v>
      </c>
      <c r="M5" s="44" t="n">
        <v>79</v>
      </c>
      <c r="N5" s="43" t="n">
        <v>27.8</v>
      </c>
      <c r="O5" s="44" t="n">
        <v>328</v>
      </c>
      <c r="P5" s="44" t="n">
        <v>7.53</v>
      </c>
      <c r="Q5" s="44" t="n"/>
      <c r="R5" s="44" t="n">
        <v>266</v>
      </c>
      <c r="S5" s="5" t="inlineStr">
        <is>
          <t>サワガニの水路</t>
        </is>
      </c>
      <c r="T5" s="5" t="str"/>
    </row>
    <row r="6" ht="22" customHeight="1" s="1">
      <c r="A6" s="5" t="n">
        <v>6</v>
      </c>
      <c r="B6" s="40" t="n">
        <v>46287.47480324074</v>
      </c>
      <c r="C6" s="5" t="inlineStr">
        <is>
          <t>Yokoze</t>
        </is>
      </c>
      <c r="D6" s="5" t="inlineStr">
        <is>
          <t>20260922</t>
        </is>
      </c>
      <c r="E6" s="41" t="n">
        <v>46287</v>
      </c>
      <c r="F6" s="5" t="inlineStr">
        <is>
          <t>晴れ</t>
        </is>
      </c>
      <c r="G6" s="5" t="inlineStr">
        <is>
          <t>雨</t>
        </is>
      </c>
      <c r="H6" s="5" t="inlineStr">
        <is>
          <t>115</t>
        </is>
      </c>
      <c r="I6" s="42" t="n">
        <v>36.005459</v>
      </c>
      <c r="J6" s="42" t="n">
        <v>139.090223</v>
      </c>
      <c r="K6" s="43" t="n">
        <v>265.6</v>
      </c>
      <c r="L6" s="44" t="n">
        <v>25.598</v>
      </c>
      <c r="M6" s="44" t="n">
        <v>81</v>
      </c>
      <c r="N6" s="43" t="n">
        <v>27.8</v>
      </c>
      <c r="O6" s="44" t="n">
        <v>318</v>
      </c>
      <c r="P6" s="44" t="n">
        <v>7.34</v>
      </c>
      <c r="Q6" s="44" t="n"/>
      <c r="R6" s="44" t="n">
        <v>272</v>
      </c>
      <c r="S6" s="5" t="inlineStr">
        <is>
          <t>五の井戸</t>
        </is>
      </c>
      <c r="T6" s="5" t="str"/>
    </row>
    <row r="7" ht="22" customHeight="1" s="1">
      <c r="A7" s="5" t="n">
        <v>7</v>
      </c>
      <c r="B7" s="40" t="n">
        <v>46287.48083333333</v>
      </c>
      <c r="C7" s="5" t="inlineStr">
        <is>
          <t>Yokoze</t>
        </is>
      </c>
      <c r="D7" s="5" t="inlineStr">
        <is>
          <t>20260922</t>
        </is>
      </c>
      <c r="E7" s="41" t="n">
        <v>46287</v>
      </c>
      <c r="F7" s="5" t="inlineStr">
        <is>
          <t>晴れ</t>
        </is>
      </c>
      <c r="G7" s="5" t="inlineStr">
        <is>
          <t>雨</t>
        </is>
      </c>
      <c r="H7" s="5" t="inlineStr">
        <is>
          <t>115</t>
        </is>
      </c>
      <c r="I7" s="42" t="n">
        <v>36.006613</v>
      </c>
      <c r="J7" s="42" t="n">
        <v>139.090901</v>
      </c>
      <c r="K7" s="43" t="n">
        <v>266.6</v>
      </c>
      <c r="L7" s="44" t="n">
        <v>79.57899999999999</v>
      </c>
      <c r="M7" s="44" t="n">
        <v>66</v>
      </c>
      <c r="N7" s="43" t="n">
        <v>29.7</v>
      </c>
      <c r="O7" s="44" t="n">
        <v>329</v>
      </c>
      <c r="P7" s="44" t="n">
        <v>7.38</v>
      </c>
      <c r="Q7" s="44" t="n"/>
      <c r="R7" s="44" t="n">
        <v>284</v>
      </c>
      <c r="S7" s="5" t="inlineStr">
        <is>
          <t>四の井戸</t>
        </is>
      </c>
      <c r="T7" s="5" t="str"/>
    </row>
    <row r="8" ht="22" customHeight="1" s="1">
      <c r="A8" s="5" t="n">
        <v>8</v>
      </c>
      <c r="B8" s="40" t="n">
        <v>46287.57190972222</v>
      </c>
      <c r="C8" s="5" t="inlineStr">
        <is>
          <t>Yokoze</t>
        </is>
      </c>
      <c r="D8" s="5" t="inlineStr">
        <is>
          <t>20260922</t>
        </is>
      </c>
      <c r="E8" s="41" t="n">
        <v>46287</v>
      </c>
      <c r="F8" s="5" t="inlineStr">
        <is>
          <t>晴れ</t>
        </is>
      </c>
      <c r="G8" s="5" t="inlineStr">
        <is>
          <t>雨</t>
        </is>
      </c>
      <c r="H8" s="5" t="inlineStr">
        <is>
          <t>115</t>
        </is>
      </c>
      <c r="I8" s="42" t="n">
        <v>36.007545</v>
      </c>
      <c r="J8" s="42" t="n">
        <v>139.091417</v>
      </c>
      <c r="K8" s="43" t="n">
        <v>263.2</v>
      </c>
      <c r="L8" s="44" t="n">
        <v>25.598</v>
      </c>
      <c r="M8" s="44" t="n">
        <v>81</v>
      </c>
      <c r="N8" s="43" t="n">
        <v>27</v>
      </c>
      <c r="O8" s="44" t="n">
        <v>306</v>
      </c>
      <c r="P8" s="44" t="n">
        <v>7.43</v>
      </c>
      <c r="Q8" s="44" t="n"/>
      <c r="R8" s="44" t="n">
        <v>261</v>
      </c>
      <c r="S8" s="5" t="inlineStr">
        <is>
          <t>三の井戸</t>
        </is>
      </c>
      <c r="T8" s="5" t="str"/>
    </row>
    <row r="9" ht="22" customHeight="1" s="1">
      <c r="A9" s="5" t="n">
        <v>9</v>
      </c>
      <c r="B9" s="40" t="n">
        <v>46287.58293981481</v>
      </c>
      <c r="C9" s="5" t="inlineStr">
        <is>
          <t>Yokoze</t>
        </is>
      </c>
      <c r="D9" s="5" t="inlineStr">
        <is>
          <t>20260922</t>
        </is>
      </c>
      <c r="E9" s="41" t="n">
        <v>46287</v>
      </c>
      <c r="F9" s="5" t="inlineStr">
        <is>
          <t>晴れ</t>
        </is>
      </c>
      <c r="G9" s="5" t="inlineStr">
        <is>
          <t>雨</t>
        </is>
      </c>
      <c r="H9" s="5" t="inlineStr">
        <is>
          <t>115</t>
        </is>
      </c>
      <c r="I9" s="42" t="n">
        <v>36.008978</v>
      </c>
      <c r="J9" s="42" t="n">
        <v>139.092265</v>
      </c>
      <c r="K9" s="43" t="n">
        <v>264.3</v>
      </c>
      <c r="L9" s="44" t="n">
        <v>2.111</v>
      </c>
      <c r="M9" s="44" t="n">
        <v>114</v>
      </c>
      <c r="N9" s="43" t="n">
        <v>27.8</v>
      </c>
      <c r="O9" s="44" t="n">
        <v>95</v>
      </c>
      <c r="P9" s="44" t="n">
        <v>6.86</v>
      </c>
      <c r="Q9" s="44" t="n"/>
      <c r="R9" s="44" t="n">
        <v>266</v>
      </c>
      <c r="S9" s="5" t="inlineStr">
        <is>
          <t>二の井戸</t>
        </is>
      </c>
      <c r="T9" s="5" t="str"/>
    </row>
    <row r="10" ht="22" customHeight="1" s="1">
      <c r="A10" s="5" t="n">
        <v>10</v>
      </c>
      <c r="B10" s="40" t="n">
        <v>46287.60726851852</v>
      </c>
      <c r="C10" s="5" t="inlineStr">
        <is>
          <t>Yokoze</t>
        </is>
      </c>
      <c r="D10" s="5" t="inlineStr">
        <is>
          <t>20260922</t>
        </is>
      </c>
      <c r="E10" s="41" t="n">
        <v>46287</v>
      </c>
      <c r="F10" s="5" t="inlineStr">
        <is>
          <t>晴れ</t>
        </is>
      </c>
      <c r="G10" s="5" t="inlineStr">
        <is>
          <t>雨</t>
        </is>
      </c>
      <c r="H10" s="5" t="inlineStr">
        <is>
          <t>115</t>
        </is>
      </c>
      <c r="I10" s="42" t="n">
        <v>35.994662</v>
      </c>
      <c r="J10" s="42" t="n">
        <v>139.080027</v>
      </c>
      <c r="K10" s="43" t="n">
        <v>268.9</v>
      </c>
      <c r="L10" s="44" t="n">
        <v>58.809</v>
      </c>
      <c r="M10" s="44" t="n">
        <v>70</v>
      </c>
      <c r="N10" s="43" t="n">
        <v>28</v>
      </c>
      <c r="O10" s="44" t="n">
        <v>275</v>
      </c>
      <c r="P10" s="44" t="n">
        <v>7.2</v>
      </c>
      <c r="Q10" s="44" t="n">
        <v>7.05</v>
      </c>
      <c r="R10" s="44" t="n">
        <v>251</v>
      </c>
      <c r="S10" s="5" t="inlineStr">
        <is>
          <t>今宮神社</t>
        </is>
      </c>
      <c r="T10" s="5" t="inlineStr">
        <is>
          <t>ph再測定7.05</t>
        </is>
      </c>
    </row>
    <row r="11" ht="22" customHeight="1" s="1">
      <c r="A11" s="5" t="n">
        <v>11</v>
      </c>
      <c r="B11" s="40" t="n">
        <v>46287.63378472222</v>
      </c>
      <c r="C11" s="5" t="inlineStr">
        <is>
          <t>Yokoze</t>
        </is>
      </c>
      <c r="D11" s="5" t="inlineStr">
        <is>
          <t>20260922</t>
        </is>
      </c>
      <c r="E11" s="41" t="n">
        <v>46287</v>
      </c>
      <c r="F11" s="5" t="inlineStr">
        <is>
          <t>晴れ</t>
        </is>
      </c>
      <c r="G11" s="5" t="inlineStr">
        <is>
          <t>雨</t>
        </is>
      </c>
      <c r="H11" s="5" t="inlineStr">
        <is>
          <t>115</t>
        </is>
      </c>
      <c r="I11" s="42" t="n">
        <v>35.987659</v>
      </c>
      <c r="J11" s="42" t="n">
        <v>139.071443</v>
      </c>
      <c r="K11" s="43" t="n">
        <v>255.7</v>
      </c>
      <c r="L11" s="44" t="n">
        <v>63.428</v>
      </c>
      <c r="M11" s="44" t="n">
        <v>69</v>
      </c>
      <c r="N11" s="43" t="n">
        <v>27</v>
      </c>
      <c r="O11" s="44" t="n">
        <v>231</v>
      </c>
      <c r="P11" s="44" t="n">
        <v>7.23</v>
      </c>
      <c r="Q11" s="44" t="n">
        <v>7.03</v>
      </c>
      <c r="R11" s="44" t="n">
        <v>240</v>
      </c>
      <c r="S11" s="5" t="inlineStr">
        <is>
          <t>金仙寺湧水</t>
        </is>
      </c>
      <c r="T11" s="5" t="inlineStr">
        <is>
          <t>再測定7.03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A5A5A5"/>
    <outlinePr summaryBelow="1" summaryRight="1"/>
    <pageSetUpPr/>
  </sheetPr>
  <dimension ref="A1:H119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28" customWidth="1" style="1" min="1" max="1"/>
    <col width="16" customWidth="1" style="1" min="2" max="2"/>
    <col width="5" customWidth="1" style="1" min="3" max="3"/>
    <col width="34" customWidth="1" style="1" min="4" max="4"/>
    <col width="14" customWidth="1" style="1" min="5" max="5"/>
    <col width="29" customWidth="1" style="1" min="6" max="6"/>
    <col width="44" customWidth="1" style="1" min="7" max="7"/>
    <col width="15" customWidth="1" style="1" min="8" max="8"/>
  </cols>
  <sheetData>
    <row r="1" ht="10" customHeight="1" s="1">
      <c r="A1" s="32" t="n"/>
      <c r="B1" s="32" t="n"/>
      <c r="C1" s="32" t="n"/>
      <c r="D1" s="32" t="n"/>
      <c r="E1" s="32" t="n"/>
      <c r="F1" s="32" t="n"/>
      <c r="G1" s="32" t="n"/>
      <c r="H1" s="32" t="n"/>
    </row>
    <row r="2">
      <c r="A2" s="33" t="inlineStr">
        <is>
          <t>YOKOZE Atlas 水質・水環境データ整理</t>
        </is>
      </c>
    </row>
    <row r="3">
      <c r="A3" s="34" t="inlineStr">
        <is>
          <t>ウェブマップ投入前の統合・単位統一・品質確認用ワークブック（2026-09-23整理）</t>
        </is>
      </c>
    </row>
    <row r="4">
      <c r="A4" s="32" t="n"/>
      <c r="B4" s="32" t="n"/>
      <c r="C4" s="32" t="n"/>
      <c r="D4" s="32" t="n"/>
      <c r="E4" s="32" t="n"/>
      <c r="F4" s="32" t="n"/>
      <c r="G4" s="32" t="n"/>
      <c r="H4" s="32" t="n"/>
    </row>
    <row r="5">
      <c r="A5" s="8" t="inlineStr">
        <is>
          <t>概要</t>
        </is>
      </c>
      <c r="B5" s="8" t="inlineStr">
        <is>
          <t>件数</t>
        </is>
      </c>
      <c r="C5" s="32" t="n"/>
      <c r="D5" s="35" t="inlineStr">
        <is>
          <t>クレンジングの主な処理</t>
        </is>
      </c>
    </row>
    <row r="6">
      <c r="A6" s="5" t="inlineStr">
        <is>
          <t>統合後の地点・観察記録</t>
        </is>
      </c>
      <c r="B6" s="46" t="n">
        <v>20</v>
      </c>
      <c r="C6" s="32" t="n"/>
      <c r="D6" s="37" t="inlineStr">
        <is>
          <t>1. 原本2ファイルを保持し、MapDataに1地点・観察1行で統合。</t>
        </is>
      </c>
    </row>
    <row r="7">
      <c r="A7" s="5" t="inlineStr">
        <is>
          <t>横瀬町内</t>
        </is>
      </c>
      <c r="B7" s="46" t="n">
        <v>5</v>
      </c>
      <c r="C7" s="32" t="n"/>
      <c r="D7" s="37" t="inlineStr">
        <is>
          <t>2. 緯度・経度・日時を型統一し、WKTのPOINT列を追加。</t>
        </is>
      </c>
    </row>
    <row r="8">
      <c r="A8" s="5" t="inlineStr">
        <is>
          <t>横瀬町外（秩父市）</t>
        </is>
      </c>
      <c r="B8" s="46" t="n">
        <v>15</v>
      </c>
      <c r="C8" s="32" t="n"/>
      <c r="D8" s="37" t="inlineStr">
        <is>
          <t>3. 電気伝導率はmS/mに統一。Code for Ground原値（μS/cm）は0.1倍して換算。</t>
        </is>
      </c>
    </row>
    <row r="9">
      <c r="A9" s="5" t="inlineStr">
        <is>
          <t>現地調査の水質測定あり</t>
        </is>
      </c>
      <c r="B9" s="46" t="n">
        <v>13</v>
      </c>
      <c r="C9" s="32" t="n"/>
      <c r="D9" s="37" t="inlineStr">
        <is>
          <t>4. pHとRpHの差はRpH - pHで再計算。</t>
        </is>
      </c>
    </row>
    <row r="10">
      <c r="A10" s="5" t="inlineStr">
        <is>
          <t>Code for Ground測定と統合</t>
        </is>
      </c>
      <c r="B10" s="46" t="n">
        <v>10</v>
      </c>
      <c r="C10" s="32" t="n"/>
      <c r="D10" s="37" t="inlineStr">
        <is>
          <t>5. Code for Ground側の再測定pH値をメモから数値化。</t>
        </is>
      </c>
    </row>
    <row r="11">
      <c r="A11" s="5" t="inlineStr">
        <is>
          <t>統合距離50m超（要確認フラグ）</t>
        </is>
      </c>
      <c r="B11" s="46" t="n">
        <v>2</v>
      </c>
      <c r="C11" s="32" t="n"/>
      <c r="D11" s="37" t="inlineStr">
        <is>
          <t>6. 地点統合は名称・時刻・距離を併用。自動最短距離のみでは結合していない。</t>
        </is>
      </c>
    </row>
    <row r="12">
      <c r="A12" s="5" t="inlineStr">
        <is>
          <t>標高差20m超（原値両方を保持）</t>
        </is>
      </c>
      <c r="B12" s="46" t="n">
        <v>10</v>
      </c>
      <c r="C12" s="32" t="n"/>
      <c r="D12" s="37" t="inlineStr">
        <is>
          <t>7. 横瀬町外の記録は削除せずin_yokoze_townとqc_flagsで識別。</t>
        </is>
      </c>
    </row>
    <row r="13">
      <c r="A13" s="38" t="inlineStr">
        <is>
          <t>同一座標の別サンプル</t>
        </is>
      </c>
      <c r="B13" s="47" t="n">
        <v>2</v>
      </c>
      <c r="C13" s="32" t="n"/>
      <c r="D13" s="37" t="inlineStr">
        <is>
          <t>8. 異なる機器の測定値は上書きせず、fieldとcfgの別列で保持。</t>
        </is>
      </c>
    </row>
    <row r="14">
      <c r="A14" s="32" t="n"/>
      <c r="B14" s="32" t="n"/>
      <c r="C14" s="32" t="n"/>
      <c r="D14" s="32" t="n"/>
      <c r="E14" s="32" t="n"/>
      <c r="F14" s="32" t="n"/>
      <c r="G14" s="32" t="n"/>
      <c r="H14" s="32" t="n"/>
    </row>
    <row r="15">
      <c r="A15" s="32" t="n"/>
      <c r="B15" s="32" t="n"/>
      <c r="C15" s="32" t="n"/>
      <c r="D15" s="32" t="n"/>
      <c r="E15" s="32" t="n"/>
      <c r="F15" s="32" t="n"/>
      <c r="G15" s="32" t="n"/>
      <c r="H15" s="32" t="n"/>
    </row>
    <row r="16">
      <c r="A16" s="35" t="inlineStr">
        <is>
          <t>Code for Ground測定との統合対応</t>
        </is>
      </c>
    </row>
    <row r="17">
      <c r="A17" s="9" t="inlineStr">
        <is>
          <t>現地調査行</t>
        </is>
      </c>
      <c r="B17" s="9" t="inlineStr">
        <is>
          <t>現地調査名</t>
        </is>
      </c>
      <c r="C17" s="9" t="inlineStr">
        <is>
          <t>CfG行</t>
        </is>
      </c>
      <c r="D17" s="9" t="inlineStr">
        <is>
          <t>CfG地点名</t>
        </is>
      </c>
      <c r="E17" s="9" t="inlineStr">
        <is>
          <t>距離(m)</t>
        </is>
      </c>
      <c r="F17" s="9" t="inlineStr">
        <is>
          <t>統合方法</t>
        </is>
      </c>
      <c r="G17" s="9" t="inlineStr">
        <is>
          <t>確認メモ</t>
        </is>
      </c>
      <c r="H17" s="9" t="inlineStr">
        <is>
          <t>標高差(m)</t>
        </is>
      </c>
    </row>
    <row r="18">
      <c r="A18" s="5" t="n">
        <v>7</v>
      </c>
      <c r="B18" s="5" t="inlineStr">
        <is>
          <t>道の駅 ちちぶの水</t>
        </is>
      </c>
      <c r="C18" s="5" t="n">
        <v>2</v>
      </c>
      <c r="D18" s="5" t="inlineStr">
        <is>
          <t>ちちぶの水</t>
        </is>
      </c>
      <c r="E18" s="43" t="n">
        <v>63.8</v>
      </c>
      <c r="F18" s="5" t="inlineStr">
        <is>
          <t>name_time_spatial_reviewed</t>
        </is>
      </c>
      <c r="G18" s="5" t="inlineStr">
        <is>
          <t>50m超だが名称と時刻が一致</t>
        </is>
      </c>
      <c r="H18" s="43" t="n">
        <v>44.3</v>
      </c>
    </row>
    <row r="19">
      <c r="A19" s="5" t="n">
        <v>8</v>
      </c>
      <c r="B19" s="5" t="inlineStr">
        <is>
          <t>秩父神社 乾の井戸</t>
        </is>
      </c>
      <c r="C19" s="5" t="n">
        <v>3</v>
      </c>
      <c r="D19" s="5" t="inlineStr">
        <is>
          <t>秩父神社 乾の井戸</t>
        </is>
      </c>
      <c r="E19" s="43" t="n">
        <v>90.90000000000001</v>
      </c>
      <c r="F19" s="5" t="inlineStr">
        <is>
          <t>name_time_spatial_reviewed</t>
        </is>
      </c>
      <c r="G19" s="5" t="inlineStr">
        <is>
          <t>50m超だが名称と時刻が一致</t>
        </is>
      </c>
      <c r="H19" s="43" t="n">
        <v>41.9</v>
      </c>
    </row>
    <row r="20">
      <c r="A20" s="5" t="n">
        <v>9</v>
      </c>
      <c r="B20" s="5" t="inlineStr">
        <is>
          <t>妙見七つ井戸 七の井戸（今重の井戸）</t>
        </is>
      </c>
      <c r="C20" s="5" t="n">
        <v>4</v>
      </c>
      <c r="D20" s="5" t="inlineStr">
        <is>
          <t>妙見七の井戸</t>
        </is>
      </c>
      <c r="E20" s="43" t="n">
        <v>44.7</v>
      </c>
      <c r="F20" s="5" t="inlineStr">
        <is>
          <t>name_time_spatial</t>
        </is>
      </c>
      <c r="G20" s="5" t="str"/>
      <c r="H20" s="43" t="n">
        <v>45</v>
      </c>
    </row>
    <row r="21">
      <c r="A21" s="5" t="n">
        <v>12</v>
      </c>
      <c r="B21" s="5" t="inlineStr">
        <is>
          <t>湧水の水路</t>
        </is>
      </c>
      <c r="C21" s="5" t="n">
        <v>5</v>
      </c>
      <c r="D21" s="5" t="inlineStr">
        <is>
          <t>サワガニの水路</t>
        </is>
      </c>
      <c r="E21" s="43" t="n">
        <v>2.9</v>
      </c>
      <c r="F21" s="5" t="inlineStr">
        <is>
          <t>name_time_spatial</t>
        </is>
      </c>
      <c r="G21" s="5" t="str"/>
      <c r="H21" s="43" t="n">
        <v>45.2</v>
      </c>
    </row>
    <row r="22">
      <c r="A22" s="5" t="n">
        <v>13</v>
      </c>
      <c r="B22" s="5" t="inlineStr">
        <is>
          <t>妙見七つ井戸 五の井戸（あらゐの井戸）</t>
        </is>
      </c>
      <c r="C22" s="5" t="n">
        <v>6</v>
      </c>
      <c r="D22" s="5" t="inlineStr">
        <is>
          <t>五の井戸</t>
        </is>
      </c>
      <c r="E22" s="43" t="n">
        <v>11.2</v>
      </c>
      <c r="F22" s="5" t="inlineStr">
        <is>
          <t>name_time_spatial</t>
        </is>
      </c>
      <c r="G22" s="5" t="str"/>
      <c r="H22" s="43" t="n">
        <v>44.3</v>
      </c>
    </row>
    <row r="23">
      <c r="A23" s="5" t="n">
        <v>16</v>
      </c>
      <c r="B23" s="5" t="inlineStr">
        <is>
          <t>妙見七つ井戸 四の井戸（下堀の井戸）</t>
        </is>
      </c>
      <c r="C23" s="5" t="n">
        <v>7</v>
      </c>
      <c r="D23" s="5" t="inlineStr">
        <is>
          <t>四の井戸</t>
        </is>
      </c>
      <c r="E23" s="43" t="n">
        <v>4.9</v>
      </c>
      <c r="F23" s="5" t="inlineStr">
        <is>
          <t>name_time_spatial</t>
        </is>
      </c>
      <c r="G23" s="5" t="str"/>
      <c r="H23" s="43" t="n">
        <v>46.4</v>
      </c>
    </row>
    <row r="24">
      <c r="A24" s="5" t="n">
        <v>17</v>
      </c>
      <c r="B24" s="5" t="inlineStr">
        <is>
          <t>妙見七つ井戸 三の井戸（子育ての井戸）</t>
        </is>
      </c>
      <c r="C24" s="5" t="n">
        <v>8</v>
      </c>
      <c r="D24" s="5" t="inlineStr">
        <is>
          <t>三の井戸</t>
        </is>
      </c>
      <c r="E24" s="43" t="n">
        <v>1.1</v>
      </c>
      <c r="F24" s="5" t="inlineStr">
        <is>
          <t>name_time_spatial</t>
        </is>
      </c>
      <c r="G24" s="5" t="str"/>
      <c r="H24" s="43" t="n">
        <v>43.3</v>
      </c>
    </row>
    <row r="25">
      <c r="A25" s="5" t="n">
        <v>18</v>
      </c>
      <c r="B25" s="5" t="inlineStr">
        <is>
          <t>妙見七つ井戸 二の井戸（井之上の井戸）</t>
        </is>
      </c>
      <c r="C25" s="5" t="n">
        <v>9</v>
      </c>
      <c r="D25" s="5" t="inlineStr">
        <is>
          <t>二の井戸</t>
        </is>
      </c>
      <c r="E25" s="43" t="n">
        <v>29.3</v>
      </c>
      <c r="F25" s="5" t="inlineStr">
        <is>
          <t>name_time_spatial</t>
        </is>
      </c>
      <c r="G25" s="5" t="str"/>
      <c r="H25" s="43" t="n">
        <v>44.8</v>
      </c>
    </row>
    <row r="26">
      <c r="A26" s="5" t="n">
        <v>20</v>
      </c>
      <c r="B26" s="5" t="inlineStr">
        <is>
          <t>秩父今宮神社 清龍の滝</t>
        </is>
      </c>
      <c r="C26" s="5" t="n">
        <v>10</v>
      </c>
      <c r="D26" s="5" t="inlineStr">
        <is>
          <t>今宮神社</t>
        </is>
      </c>
      <c r="E26" s="43" t="n">
        <v>31.4</v>
      </c>
      <c r="F26" s="5" t="inlineStr">
        <is>
          <t>name_time_manual_override</t>
        </is>
      </c>
      <c r="G26" s="5" t="inlineStr">
        <is>
          <t>最短距離の「井戸」ではなく、名称・時刻で清龍の滝に統合</t>
        </is>
      </c>
      <c r="H26" s="43" t="n">
        <v>41.9</v>
      </c>
    </row>
    <row r="27">
      <c r="A27" s="5" t="n">
        <v>21</v>
      </c>
      <c r="B27" s="5" t="inlineStr">
        <is>
          <t>知知夫瀧坂水神社 御神水</t>
        </is>
      </c>
      <c r="C27" s="5" t="n">
        <v>11</v>
      </c>
      <c r="D27" s="5" t="inlineStr">
        <is>
          <t>金仙寺湧水</t>
        </is>
      </c>
      <c r="E27" s="43" t="n">
        <v>27.9</v>
      </c>
      <c r="F27" s="5" t="inlineStr">
        <is>
          <t>time_spatial_alias_reviewed</t>
        </is>
      </c>
      <c r="G27" s="5" t="inlineStr">
        <is>
          <t>名称は異なるが、時刻と位置から同一採水と判断</t>
        </is>
      </c>
      <c r="H27" s="43" t="n">
        <v>43.9</v>
      </c>
    </row>
    <row r="28">
      <c r="A28" s="32" t="n"/>
      <c r="B28" s="32" t="n"/>
      <c r="C28" s="32" t="n"/>
      <c r="D28" s="32" t="n"/>
      <c r="E28" s="32" t="n"/>
      <c r="F28" s="32" t="n"/>
      <c r="G28" s="32" t="n"/>
      <c r="H28" s="32" t="n"/>
    </row>
    <row r="29">
      <c r="A29" s="32" t="n"/>
      <c r="B29" s="32" t="n"/>
      <c r="C29" s="32" t="n"/>
      <c r="D29" s="32" t="n"/>
      <c r="E29" s="32" t="n"/>
      <c r="F29" s="32" t="n"/>
      <c r="G29" s="32" t="n"/>
      <c r="H29" s="32" t="n"/>
    </row>
    <row r="30">
      <c r="A30" s="35" t="inlineStr">
        <is>
          <t>MapData データ辞書</t>
        </is>
      </c>
    </row>
    <row r="31">
      <c r="A31" s="8" t="inlineStr">
        <is>
          <t>列名</t>
        </is>
      </c>
      <c r="B31" s="8" t="inlineStr">
        <is>
          <t>説明</t>
        </is>
      </c>
      <c r="C31" s="8" t="inlineStr">
        <is>
          <t>単位</t>
        </is>
      </c>
      <c r="D31" s="8" t="inlineStr">
        <is>
          <t>データ種別</t>
        </is>
      </c>
      <c r="E31" s="32" t="n"/>
      <c r="F31" s="32" t="n"/>
      <c r="G31" s="32" t="n"/>
      <c r="H31" s="32" t="n"/>
    </row>
    <row r="32">
      <c r="A32" s="5" t="inlineStr">
        <is>
          <t>feature_id</t>
        </is>
      </c>
      <c r="B32" s="5" t="inlineStr">
        <is>
          <t>統合後の一意ID</t>
        </is>
      </c>
      <c r="C32" s="5" t="str"/>
      <c r="D32" s="5" t="inlineStr">
        <is>
          <t>text</t>
        </is>
      </c>
      <c r="E32" s="32" t="n"/>
      <c r="F32" s="32" t="n"/>
      <c r="G32" s="32" t="n"/>
      <c r="H32" s="32" t="n"/>
    </row>
    <row r="33">
      <c r="A33" s="5" t="inlineStr">
        <is>
          <t>name</t>
        </is>
      </c>
      <c r="B33" s="5" t="inlineStr">
        <is>
          <t>地図表示用名称（アンダースコア・全角空白を正規化）</t>
        </is>
      </c>
      <c r="C33" s="5" t="str"/>
      <c r="D33" s="5" t="inlineStr">
        <is>
          <t>text</t>
        </is>
      </c>
      <c r="E33" s="32" t="n"/>
      <c r="F33" s="32" t="n"/>
      <c r="G33" s="32" t="n"/>
      <c r="H33" s="32" t="n"/>
    </row>
    <row r="34">
      <c r="A34" s="5" t="inlineStr">
        <is>
          <t>feature_class</t>
        </is>
      </c>
      <c r="B34" s="5" t="inlineStr">
        <is>
          <t>大分類: water_quality_sample / water_feature / other_observation</t>
        </is>
      </c>
      <c r="C34" s="5" t="str"/>
      <c r="D34" s="5" t="inlineStr">
        <is>
          <t>text</t>
        </is>
      </c>
      <c r="E34" s="32" t="n"/>
      <c r="F34" s="32" t="n"/>
      <c r="G34" s="32" t="n"/>
      <c r="H34" s="32" t="n"/>
    </row>
    <row r="35">
      <c r="A35" s="5" t="inlineStr">
        <is>
          <t>feature_type</t>
        </is>
      </c>
      <c r="B35" s="5" t="inlineStr">
        <is>
          <t>地物・採水対象の種類</t>
        </is>
      </c>
      <c r="C35" s="5" t="str"/>
      <c r="D35" s="5" t="inlineStr">
        <is>
          <t>text</t>
        </is>
      </c>
      <c r="E35" s="32" t="n"/>
      <c r="F35" s="32" t="n"/>
      <c r="G35" s="32" t="n"/>
      <c r="H35" s="32" t="n"/>
    </row>
    <row r="36">
      <c r="A36" s="5" t="inlineStr">
        <is>
          <t>has_water_measurement</t>
        </is>
      </c>
      <c r="B36" s="5" t="inlineStr">
        <is>
          <t>現地調査側に水質測定値があるか</t>
        </is>
      </c>
      <c r="C36" s="5" t="str"/>
      <c r="D36" s="5" t="inlineStr">
        <is>
          <t>boolean</t>
        </is>
      </c>
      <c r="E36" s="32" t="n"/>
      <c r="F36" s="32" t="n"/>
      <c r="G36" s="32" t="n"/>
      <c r="H36" s="32" t="n"/>
    </row>
    <row r="37">
      <c r="A37" s="5" t="inlineStr">
        <is>
          <t>observed_at</t>
        </is>
      </c>
      <c r="B37" s="5" t="inlineStr">
        <is>
          <t>現地調査日時</t>
        </is>
      </c>
      <c r="C37" s="5" t="str"/>
      <c r="D37" s="5" t="inlineStr">
        <is>
          <t>datetime</t>
        </is>
      </c>
      <c r="E37" s="32" t="n"/>
      <c r="F37" s="32" t="n"/>
      <c r="G37" s="32" t="n"/>
      <c r="H37" s="32" t="n"/>
    </row>
    <row r="38">
      <c r="A38" s="5" t="inlineStr">
        <is>
          <t>observed_date</t>
        </is>
      </c>
      <c r="B38" s="5" t="inlineStr">
        <is>
          <t>現地調査日</t>
        </is>
      </c>
      <c r="C38" s="5" t="str"/>
      <c r="D38" s="5" t="inlineStr">
        <is>
          <t>date</t>
        </is>
      </c>
      <c r="E38" s="32" t="n"/>
      <c r="F38" s="32" t="n"/>
      <c r="G38" s="32" t="n"/>
      <c r="H38" s="32" t="n"/>
    </row>
    <row r="39">
      <c r="A39" s="5" t="inlineStr">
        <is>
          <t>longitude</t>
        </is>
      </c>
      <c r="B39" s="5" t="inlineStr">
        <is>
          <t>地図表示用経度（WGS84想定）</t>
        </is>
      </c>
      <c r="C39" s="5" t="str"/>
      <c r="D39" s="5" t="inlineStr">
        <is>
          <t>number</t>
        </is>
      </c>
      <c r="E39" s="32" t="n"/>
      <c r="F39" s="32" t="n"/>
      <c r="G39" s="32" t="n"/>
      <c r="H39" s="32" t="n"/>
    </row>
    <row r="40">
      <c r="A40" s="5" t="inlineStr">
        <is>
          <t>latitude</t>
        </is>
      </c>
      <c r="B40" s="5" t="inlineStr">
        <is>
          <t>地図表示用緯度（WGS84想定）</t>
        </is>
      </c>
      <c r="C40" s="5" t="str"/>
      <c r="D40" s="5" t="inlineStr">
        <is>
          <t>number</t>
        </is>
      </c>
      <c r="E40" s="32" t="n"/>
      <c r="F40" s="32" t="n"/>
      <c r="G40" s="32" t="n"/>
      <c r="H40" s="32" t="n"/>
    </row>
    <row r="41">
      <c r="A41" s="5" t="inlineStr">
        <is>
          <t>wkt</t>
        </is>
      </c>
      <c r="B41" s="5" t="inlineStr">
        <is>
          <t>POINT (経度 緯度)形式</t>
        </is>
      </c>
      <c r="C41" s="5" t="str"/>
      <c r="D41" s="5" t="inlineStr">
        <is>
          <t>text</t>
        </is>
      </c>
      <c r="E41" s="32" t="n"/>
      <c r="F41" s="32" t="n"/>
      <c r="G41" s="32" t="n"/>
      <c r="H41" s="32" t="n"/>
    </row>
    <row r="42">
      <c r="A42" s="5" t="inlineStr">
        <is>
          <t>address</t>
        </is>
      </c>
      <c r="B42" s="5" t="inlineStr">
        <is>
          <t>現地調査原本の住所</t>
        </is>
      </c>
      <c r="C42" s="5" t="str"/>
      <c r="D42" s="5" t="inlineStr">
        <is>
          <t>text</t>
        </is>
      </c>
      <c r="E42" s="32" t="n"/>
      <c r="F42" s="32" t="n"/>
      <c r="G42" s="32" t="n"/>
      <c r="H42" s="32" t="n"/>
    </row>
    <row r="43">
      <c r="A43" s="5" t="inlineStr">
        <is>
          <t>municipality</t>
        </is>
      </c>
      <c r="B43" s="5" t="inlineStr">
        <is>
          <t>住所から抽出した自治体</t>
        </is>
      </c>
      <c r="C43" s="5" t="str"/>
      <c r="D43" s="5" t="inlineStr">
        <is>
          <t>text</t>
        </is>
      </c>
      <c r="E43" s="32" t="n"/>
      <c r="F43" s="32" t="n"/>
      <c r="G43" s="32" t="n"/>
      <c r="H43" s="32" t="n"/>
    </row>
    <row r="44">
      <c r="A44" s="5" t="inlineStr">
        <is>
          <t>in_yokoze_town</t>
        </is>
      </c>
      <c r="B44" s="5" t="inlineStr">
        <is>
          <t>横瀬町内かどうか</t>
        </is>
      </c>
      <c r="C44" s="5" t="str"/>
      <c r="D44" s="5" t="inlineStr">
        <is>
          <t>boolean</t>
        </is>
      </c>
      <c r="E44" s="32" t="n"/>
      <c r="F44" s="32" t="n"/>
      <c r="G44" s="32" t="n"/>
      <c r="H44" s="32" t="n"/>
    </row>
    <row r="45">
      <c r="A45" s="5" t="inlineStr">
        <is>
          <t>access_status</t>
        </is>
      </c>
      <c r="B45" s="5" t="inlineStr">
        <is>
          <t>備考から識別した立入状況（unknown/private/no_entry）</t>
        </is>
      </c>
      <c r="C45" s="5" t="str"/>
      <c r="D45" s="5" t="inlineStr">
        <is>
          <t>text</t>
        </is>
      </c>
      <c r="E45" s="32" t="n"/>
      <c r="F45" s="32" t="n"/>
      <c r="G45" s="32" t="n"/>
      <c r="H45" s="32" t="n"/>
    </row>
    <row r="46">
      <c r="A46" s="5" t="inlineStr">
        <is>
          <t>elevation_field_m</t>
        </is>
      </c>
      <c r="B46" s="5" t="inlineStr">
        <is>
          <t>現地調査側標高(m)</t>
        </is>
      </c>
      <c r="C46" s="5" t="inlineStr">
        <is>
          <t>m</t>
        </is>
      </c>
      <c r="D46" s="5" t="inlineStr">
        <is>
          <t>number</t>
        </is>
      </c>
      <c r="E46" s="32" t="n"/>
      <c r="F46" s="32" t="n"/>
      <c r="G46" s="32" t="n"/>
      <c r="H46" s="32" t="n"/>
    </row>
    <row r="47">
      <c r="A47" s="5" t="inlineStr">
        <is>
          <t>water_temp_field_c</t>
        </is>
      </c>
      <c r="B47" s="5" t="inlineStr">
        <is>
          <t>現地調査側水温(℃)</t>
        </is>
      </c>
      <c r="C47" s="5" t="inlineStr">
        <is>
          <t>℃</t>
        </is>
      </c>
      <c r="D47" s="5" t="inlineStr">
        <is>
          <t>number</t>
        </is>
      </c>
      <c r="E47" s="32" t="n"/>
      <c r="F47" s="32" t="n"/>
      <c r="G47" s="32" t="n"/>
      <c r="H47" s="32" t="n"/>
    </row>
    <row r="48">
      <c r="A48" s="5" t="inlineStr">
        <is>
          <t>conductivity_field_ms_m</t>
        </is>
      </c>
      <c r="B48" s="5" t="inlineStr">
        <is>
          <t>現地調査側の電気伝導率</t>
        </is>
      </c>
      <c r="C48" s="5" t="inlineStr">
        <is>
          <t>mS/m</t>
        </is>
      </c>
      <c r="D48" s="5" t="inlineStr">
        <is>
          <t>number</t>
        </is>
      </c>
      <c r="E48" s="32" t="n"/>
      <c r="F48" s="32" t="n"/>
      <c r="G48" s="32" t="n"/>
      <c r="H48" s="32" t="n"/>
    </row>
    <row r="49">
      <c r="A49" s="5" t="inlineStr">
        <is>
          <t>ph_field</t>
        </is>
      </c>
      <c r="B49" s="5" t="inlineStr">
        <is>
          <t>現地調査側pH</t>
        </is>
      </c>
      <c r="C49" s="5" t="str"/>
      <c r="D49" s="5" t="inlineStr">
        <is>
          <t>number</t>
        </is>
      </c>
      <c r="E49" s="32" t="n"/>
      <c r="F49" s="32" t="n"/>
      <c r="G49" s="32" t="n"/>
      <c r="H49" s="32" t="n"/>
    </row>
    <row r="50">
      <c r="A50" s="5" t="inlineStr">
        <is>
          <t>rph_field</t>
        </is>
      </c>
      <c r="B50" s="5" t="inlineStr">
        <is>
          <t>現地調査側RpH</t>
        </is>
      </c>
      <c r="C50" s="5" t="str"/>
      <c r="D50" s="5" t="inlineStr">
        <is>
          <t>number</t>
        </is>
      </c>
      <c r="E50" s="32" t="n"/>
      <c r="F50" s="32" t="n"/>
      <c r="G50" s="32" t="n"/>
      <c r="H50" s="32" t="n"/>
    </row>
    <row r="51">
      <c r="A51" s="5" t="inlineStr">
        <is>
          <t>ph_difference</t>
        </is>
      </c>
      <c r="B51" s="5" t="inlineStr">
        <is>
          <t>RpH - pH</t>
        </is>
      </c>
      <c r="C51" s="5" t="str"/>
      <c r="D51" s="5" t="inlineStr">
        <is>
          <t>number</t>
        </is>
      </c>
      <c r="E51" s="32" t="n"/>
      <c r="F51" s="32" t="n"/>
      <c r="G51" s="32" t="n"/>
      <c r="H51" s="32" t="n"/>
    </row>
    <row r="52">
      <c r="A52" s="5" t="inlineStr">
        <is>
          <t>remarks</t>
        </is>
      </c>
      <c r="B52" s="5" t="inlineStr">
        <is>
          <t>現地調査側備考</t>
        </is>
      </c>
      <c r="C52" s="5" t="str"/>
      <c r="D52" s="5" t="inlineStr">
        <is>
          <t>text</t>
        </is>
      </c>
      <c r="E52" s="32" t="n"/>
      <c r="F52" s="32" t="n"/>
      <c r="G52" s="32" t="n"/>
      <c r="H52" s="32" t="n"/>
    </row>
    <row r="53">
      <c r="A53" s="5" t="inlineStr">
        <is>
          <t>cfg_matched</t>
        </is>
      </c>
      <c r="B53" s="5" t="inlineStr">
        <is>
          <t>Code for Ground測定と統合したか</t>
        </is>
      </c>
      <c r="C53" s="5" t="str"/>
      <c r="D53" s="5" t="inlineStr">
        <is>
          <t>boolean</t>
        </is>
      </c>
      <c r="E53" s="32" t="n"/>
      <c r="F53" s="32" t="n"/>
      <c r="G53" s="32" t="n"/>
      <c r="H53" s="32" t="n"/>
    </row>
    <row r="54">
      <c r="A54" s="5" t="inlineStr">
        <is>
          <t>cfg_match_method</t>
        </is>
      </c>
      <c r="B54" s="5" t="inlineStr">
        <is>
          <t>統合の判定方法</t>
        </is>
      </c>
      <c r="C54" s="5" t="str"/>
      <c r="D54" s="5" t="inlineStr">
        <is>
          <t>text</t>
        </is>
      </c>
      <c r="E54" s="32" t="n"/>
      <c r="F54" s="32" t="n"/>
      <c r="G54" s="32" t="n"/>
      <c r="H54" s="32" t="n"/>
    </row>
    <row r="55">
      <c r="A55" s="5" t="inlineStr">
        <is>
          <t>cfg_match_distance_m</t>
        </is>
      </c>
      <c r="B55" s="5" t="inlineStr">
        <is>
          <t>2ファイル間の座標距離(m)</t>
        </is>
      </c>
      <c r="C55" s="5" t="inlineStr">
        <is>
          <t>m</t>
        </is>
      </c>
      <c r="D55" s="5" t="inlineStr">
        <is>
          <t>number</t>
        </is>
      </c>
      <c r="E55" s="32" t="n"/>
      <c r="F55" s="32" t="n"/>
      <c r="G55" s="32" t="n"/>
      <c r="H55" s="32" t="n"/>
    </row>
    <row r="56">
      <c r="A56" s="5" t="inlineStr">
        <is>
          <t>cfg_observed_at</t>
        </is>
      </c>
      <c r="B56" s="5" t="inlineStr">
        <is>
          <t>Code for Ground測定日時</t>
        </is>
      </c>
      <c r="C56" s="5" t="str"/>
      <c r="D56" s="5" t="inlineStr">
        <is>
          <t>datetime</t>
        </is>
      </c>
      <c r="E56" s="32" t="n"/>
      <c r="F56" s="32" t="n"/>
      <c r="G56" s="32" t="n"/>
      <c r="H56" s="32" t="n"/>
    </row>
    <row r="57">
      <c r="A57" s="5" t="inlineStr">
        <is>
          <t>cfg_latitude</t>
        </is>
      </c>
      <c r="B57" s="5" t="inlineStr">
        <is>
          <t>Code for Ground側緯度</t>
        </is>
      </c>
      <c r="C57" s="5" t="str"/>
      <c r="D57" s="5" t="inlineStr">
        <is>
          <t>number</t>
        </is>
      </c>
      <c r="E57" s="32" t="n"/>
      <c r="F57" s="32" t="n"/>
      <c r="G57" s="32" t="n"/>
      <c r="H57" s="32" t="n"/>
    </row>
    <row r="58">
      <c r="A58" s="5" t="inlineStr">
        <is>
          <t>cfg_longitude</t>
        </is>
      </c>
      <c r="B58" s="5" t="inlineStr">
        <is>
          <t>Code for Ground側経度</t>
        </is>
      </c>
      <c r="C58" s="5" t="str"/>
      <c r="D58" s="5" t="inlineStr">
        <is>
          <t>number</t>
        </is>
      </c>
      <c r="E58" s="32" t="n"/>
      <c r="F58" s="32" t="n"/>
      <c r="G58" s="32" t="n"/>
      <c r="H58" s="32" t="n"/>
    </row>
    <row r="59">
      <c r="A59" s="5" t="inlineStr">
        <is>
          <t>cfg_elevation_m</t>
        </is>
      </c>
      <c r="B59" s="5" t="inlineStr">
        <is>
          <t>Code for Ground側標高(m)</t>
        </is>
      </c>
      <c r="C59" s="5" t="inlineStr">
        <is>
          <t>m</t>
        </is>
      </c>
      <c r="D59" s="5" t="inlineStr">
        <is>
          <t>number</t>
        </is>
      </c>
      <c r="E59" s="32" t="n"/>
      <c r="F59" s="32" t="n"/>
      <c r="G59" s="32" t="n"/>
      <c r="H59" s="32" t="n"/>
    </row>
    <row r="60">
      <c r="A60" s="5" t="inlineStr">
        <is>
          <t>elevation_difference_m</t>
        </is>
      </c>
      <c r="B60" s="5" t="inlineStr">
        <is>
          <t>Code for Ground標高 - 現地調査標高(m)</t>
        </is>
      </c>
      <c r="C60" s="5" t="inlineStr">
        <is>
          <t>m</t>
        </is>
      </c>
      <c r="D60" s="5" t="inlineStr">
        <is>
          <t>number</t>
        </is>
      </c>
      <c r="E60" s="32" t="n"/>
      <c r="F60" s="32" t="n"/>
      <c r="G60" s="32" t="n"/>
      <c r="H60" s="32" t="n"/>
    </row>
    <row r="61">
      <c r="A61" s="5" t="inlineStr">
        <is>
          <t>nitrate_mg_l</t>
        </is>
      </c>
      <c r="B61" s="5" t="inlineStr">
        <is>
          <t>NO3濃度(mg/L)</t>
        </is>
      </c>
      <c r="C61" s="5" t="inlineStr">
        <is>
          <t>mg/L</t>
        </is>
      </c>
      <c r="D61" s="5" t="inlineStr">
        <is>
          <t>number</t>
        </is>
      </c>
      <c r="E61" s="32" t="n"/>
      <c r="F61" s="32" t="n"/>
      <c r="G61" s="32" t="n"/>
      <c r="H61" s="32" t="n"/>
    </row>
    <row r="62">
      <c r="A62" s="5" t="inlineStr">
        <is>
          <t>nitrate_mv</t>
        </is>
      </c>
      <c r="B62" s="5" t="inlineStr">
        <is>
          <t>NO3測定値(mV)</t>
        </is>
      </c>
      <c r="C62" s="5" t="inlineStr">
        <is>
          <t>mV</t>
        </is>
      </c>
      <c r="D62" s="5" t="inlineStr">
        <is>
          <t>number</t>
        </is>
      </c>
      <c r="E62" s="32" t="n"/>
      <c r="F62" s="32" t="n"/>
      <c r="G62" s="32" t="n"/>
      <c r="H62" s="32" t="n"/>
    </row>
    <row r="63">
      <c r="A63" s="5" t="inlineStr">
        <is>
          <t>water_temp_cfg_c</t>
        </is>
      </c>
      <c r="B63" s="5" t="inlineStr">
        <is>
          <t>Code for Ground側水温(℃)</t>
        </is>
      </c>
      <c r="C63" s="5" t="inlineStr">
        <is>
          <t>℃</t>
        </is>
      </c>
      <c r="D63" s="5" t="inlineStr">
        <is>
          <t>number</t>
        </is>
      </c>
      <c r="E63" s="32" t="n"/>
      <c r="F63" s="32" t="n"/>
      <c r="G63" s="32" t="n"/>
      <c r="H63" s="32" t="n"/>
    </row>
    <row r="64">
      <c r="A64" s="5" t="inlineStr">
        <is>
          <t>conductivity_cfg_ms_m</t>
        </is>
      </c>
      <c r="B64" s="5" t="inlineStr">
        <is>
          <t>Code for Ground側の電気伝導率</t>
        </is>
      </c>
      <c r="C64" s="5" t="inlineStr">
        <is>
          <t>mS/m</t>
        </is>
      </c>
      <c r="D64" s="5" t="inlineStr">
        <is>
          <t>number</t>
        </is>
      </c>
      <c r="E64" s="32" t="n"/>
      <c r="F64" s="32" t="n"/>
      <c r="G64" s="32" t="n"/>
      <c r="H64" s="32" t="n"/>
    </row>
    <row r="65">
      <c r="A65" s="5" t="inlineStr">
        <is>
          <t>ph_cfg</t>
        </is>
      </c>
      <c r="B65" s="5" t="inlineStr">
        <is>
          <t>Code for Ground側pH</t>
        </is>
      </c>
      <c r="C65" s="5" t="str"/>
      <c r="D65" s="5" t="inlineStr">
        <is>
          <t>number</t>
        </is>
      </c>
      <c r="E65" s="32" t="n"/>
      <c r="F65" s="32" t="n"/>
      <c r="G65" s="32" t="n"/>
      <c r="H65" s="32" t="n"/>
    </row>
    <row r="66">
      <c r="A66" s="5" t="inlineStr">
        <is>
          <t>ph_cfg_retest</t>
        </is>
      </c>
      <c r="B66" s="5" t="inlineStr">
        <is>
          <t>Code for Groundメモから抽出したpH再測定値</t>
        </is>
      </c>
      <c r="C66" s="5" t="str"/>
      <c r="D66" s="5" t="inlineStr">
        <is>
          <t>number</t>
        </is>
      </c>
      <c r="E66" s="32" t="n"/>
      <c r="F66" s="32" t="n"/>
      <c r="G66" s="32" t="n"/>
      <c r="H66" s="32" t="n"/>
    </row>
    <row r="67">
      <c r="A67" s="5" t="inlineStr">
        <is>
          <t>orp_mv</t>
        </is>
      </c>
      <c r="B67" s="5" t="inlineStr">
        <is>
          <t>ORP(mV)</t>
        </is>
      </c>
      <c r="C67" s="5" t="inlineStr">
        <is>
          <t>mV</t>
        </is>
      </c>
      <c r="D67" s="5" t="inlineStr">
        <is>
          <t>number</t>
        </is>
      </c>
      <c r="E67" s="32" t="n"/>
      <c r="F67" s="32" t="n"/>
      <c r="G67" s="32" t="n"/>
      <c r="H67" s="32" t="n"/>
    </row>
    <row r="68">
      <c r="A68" s="5" t="inlineStr">
        <is>
          <t>weather</t>
        </is>
      </c>
      <c r="B68" s="5" t="inlineStr">
        <is>
          <t>当日の天気</t>
        </is>
      </c>
      <c r="C68" s="5" t="str"/>
      <c r="D68" s="5" t="inlineStr">
        <is>
          <t>text</t>
        </is>
      </c>
      <c r="E68" s="32" t="n"/>
      <c r="F68" s="32" t="n"/>
      <c r="G68" s="32" t="n"/>
      <c r="H68" s="32" t="n"/>
    </row>
    <row r="69">
      <c r="A69" s="5" t="inlineStr">
        <is>
          <t>previous_weather</t>
        </is>
      </c>
      <c r="B69" s="5" t="inlineStr">
        <is>
          <t>前日の天気</t>
        </is>
      </c>
      <c r="C69" s="5" t="str"/>
      <c r="D69" s="5" t="inlineStr">
        <is>
          <t>text</t>
        </is>
      </c>
      <c r="E69" s="32" t="n"/>
      <c r="F69" s="32" t="n"/>
      <c r="G69" s="32" t="n"/>
      <c r="H69" s="32" t="n"/>
    </row>
    <row r="70">
      <c r="A70" s="5" t="inlineStr">
        <is>
          <t>cfg_field_id</t>
        </is>
      </c>
      <c r="B70" s="5" t="inlineStr">
        <is>
          <t>Code for Ground測定フィールドID</t>
        </is>
      </c>
      <c r="C70" s="5" t="str"/>
      <c r="D70" s="5" t="inlineStr">
        <is>
          <t>text</t>
        </is>
      </c>
      <c r="E70" s="32" t="n"/>
      <c r="F70" s="32" t="n"/>
      <c r="G70" s="32" t="n"/>
      <c r="H70" s="32" t="n"/>
    </row>
    <row r="71">
      <c r="A71" s="5" t="inlineStr">
        <is>
          <t>cfg_event_id</t>
        </is>
      </c>
      <c r="B71" s="5" t="inlineStr">
        <is>
          <t>Code for GroundイベントID（文字列として保持）</t>
        </is>
      </c>
      <c r="C71" s="5" t="str"/>
      <c r="D71" s="5" t="inlineStr">
        <is>
          <t>text</t>
        </is>
      </c>
      <c r="E71" s="32" t="n"/>
      <c r="F71" s="32" t="n"/>
      <c r="G71" s="32" t="n"/>
      <c r="H71" s="32" t="n"/>
    </row>
    <row r="72">
      <c r="A72" s="5" t="inlineStr">
        <is>
          <t>cfg_device_id</t>
        </is>
      </c>
      <c r="B72" s="5" t="inlineStr">
        <is>
          <t>Code for Ground測定デバイスID（文字列として保持）</t>
        </is>
      </c>
      <c r="C72" s="5" t="str"/>
      <c r="D72" s="5" t="inlineStr">
        <is>
          <t>text</t>
        </is>
      </c>
      <c r="E72" s="32" t="n"/>
      <c r="F72" s="32" t="n"/>
      <c r="G72" s="32" t="n"/>
      <c r="H72" s="32" t="n"/>
    </row>
    <row r="73">
      <c r="A73" s="5" t="inlineStr">
        <is>
          <t>cfg_location_label</t>
        </is>
      </c>
      <c r="B73" s="5" t="inlineStr">
        <is>
          <t>Code for Ground側の地点名</t>
        </is>
      </c>
      <c r="C73" s="5" t="str"/>
      <c r="D73" s="5" t="inlineStr">
        <is>
          <t>text</t>
        </is>
      </c>
      <c r="E73" s="32" t="n"/>
      <c r="F73" s="32" t="n"/>
      <c r="G73" s="32" t="n"/>
      <c r="H73" s="32" t="n"/>
    </row>
    <row r="74">
      <c r="A74" s="5" t="inlineStr">
        <is>
          <t>cfg_note</t>
        </is>
      </c>
      <c r="B74" s="5" t="inlineStr">
        <is>
          <t>Code for Ground側の追加メモ</t>
        </is>
      </c>
      <c r="C74" s="5" t="str"/>
      <c r="D74" s="5" t="inlineStr">
        <is>
          <t>text</t>
        </is>
      </c>
      <c r="E74" s="32" t="n"/>
      <c r="F74" s="32" t="n"/>
      <c r="G74" s="32" t="n"/>
      <c r="H74" s="32" t="n"/>
    </row>
    <row r="75">
      <c r="A75" s="5" t="inlineStr">
        <is>
          <t>qc_flags</t>
        </is>
      </c>
      <c r="B75" s="5" t="inlineStr">
        <is>
          <t>半角セミコロン区切りの品質・範囲フラグ</t>
        </is>
      </c>
      <c r="C75" s="5" t="str"/>
      <c r="D75" s="5" t="inlineStr">
        <is>
          <t>text</t>
        </is>
      </c>
      <c r="E75" s="32" t="n"/>
      <c r="F75" s="32" t="n"/>
      <c r="G75" s="32" t="n"/>
      <c r="H75" s="32" t="n"/>
    </row>
    <row r="76">
      <c r="A76" s="5" t="inlineStr">
        <is>
          <t>source_fieldwork_row</t>
        </is>
      </c>
      <c r="B76" s="5" t="inlineStr">
        <is>
          <t>現地調査原本のExcel行番号</t>
        </is>
      </c>
      <c r="C76" s="5" t="str"/>
      <c r="D76" s="5" t="inlineStr">
        <is>
          <t>number</t>
        </is>
      </c>
      <c r="E76" s="32" t="n"/>
      <c r="F76" s="32" t="n"/>
      <c r="G76" s="32" t="n"/>
      <c r="H76" s="32" t="n"/>
    </row>
    <row r="77">
      <c r="A77" s="5" t="inlineStr">
        <is>
          <t>source_cfg_row</t>
        </is>
      </c>
      <c r="B77" s="5" t="inlineStr">
        <is>
          <t>Code for Ground原本のExcel行番号</t>
        </is>
      </c>
      <c r="C77" s="5" t="str"/>
      <c r="D77" s="5" t="inlineStr">
        <is>
          <t>number</t>
        </is>
      </c>
      <c r="E77" s="32" t="n"/>
      <c r="F77" s="32" t="n"/>
      <c r="G77" s="32" t="n"/>
      <c r="H77" s="32" t="n"/>
    </row>
    <row r="78">
      <c r="A78" s="5" t="inlineStr">
        <is>
          <t>source_files</t>
        </is>
      </c>
      <c r="B78" s="5" t="inlineStr">
        <is>
          <t>その行に使用した原本ファイル</t>
        </is>
      </c>
      <c r="C78" s="5" t="str"/>
      <c r="D78" s="5" t="inlineStr">
        <is>
          <t>text</t>
        </is>
      </c>
      <c r="E78" s="32" t="n"/>
      <c r="F78" s="32" t="n"/>
      <c r="G78" s="32" t="n"/>
      <c r="H78" s="32" t="n"/>
    </row>
    <row r="79">
      <c r="A79" s="32" t="n"/>
      <c r="B79" s="32" t="n"/>
      <c r="C79" s="32" t="n"/>
      <c r="D79" s="32" t="n"/>
      <c r="E79" s="32" t="n"/>
      <c r="F79" s="32" t="n"/>
      <c r="G79" s="32" t="n"/>
      <c r="H79" s="32" t="n"/>
    </row>
    <row r="80">
      <c r="A80" s="32" t="n"/>
      <c r="B80" s="32" t="n"/>
      <c r="C80" s="32" t="n"/>
      <c r="D80" s="32" t="n"/>
      <c r="E80" s="32" t="n"/>
      <c r="F80" s="32" t="n"/>
      <c r="G80" s="32" t="n"/>
      <c r="H80" s="32" t="n"/>
    </row>
    <row r="81">
      <c r="A81" s="35" t="inlineStr">
        <is>
          <t>出典・ルール</t>
        </is>
      </c>
    </row>
    <row r="82">
      <c r="A82" s="5" t="inlineStr">
        <is>
          <t>原本: 2026.09.21-22_荒川流域圏構想フィールドワーク.xlsx</t>
        </is>
      </c>
    </row>
    <row r="83">
      <c r="A83" s="5" t="inlineStr">
        <is>
          <t>原本: Code for Ground データソン.xlsx</t>
        </is>
      </c>
    </row>
    <row r="84">
      <c r="A84" s="5" t="inlineStr">
        <is>
          <t>YOKOZE Atlas: https://github.com/furuhashilab/YOKOZEatlas2026</t>
        </is>
      </c>
    </row>
    <row r="85">
      <c r="A85" s="5" t="inlineStr">
        <is>
          <t>データ整備ルール v0.5.1: https://github.com/furuhashilab/YOKOZEatlas2026/issues/16</t>
        </is>
      </c>
    </row>
    <row r="86">
      <c r="A86" s="5" t="inlineStr">
        <is>
          <t>命名規則の参考: https://github.com/furuhashilab/YOKOZEatlas2026/issues/19</t>
        </is>
      </c>
    </row>
    <row r="87">
      <c r="A87" s="32" t="n"/>
      <c r="B87" s="32" t="n"/>
      <c r="C87" s="32" t="n"/>
      <c r="D87" s="32" t="n"/>
      <c r="E87" s="32" t="n"/>
      <c r="F87" s="32" t="n"/>
      <c r="G87" s="32" t="n"/>
      <c r="H87" s="32" t="n"/>
    </row>
    <row r="88">
      <c r="A88" s="32" t="n"/>
      <c r="B88" s="32" t="n"/>
      <c r="C88" s="32" t="n"/>
      <c r="D88" s="32" t="n"/>
      <c r="E88" s="32" t="n"/>
      <c r="F88" s="32" t="n"/>
      <c r="G88" s="32" t="n"/>
      <c r="H88" s="32" t="n"/>
    </row>
    <row r="89">
      <c r="A89" s="32" t="n"/>
      <c r="B89" s="32" t="n"/>
      <c r="C89" s="32" t="n"/>
      <c r="D89" s="32" t="n"/>
      <c r="E89" s="32" t="n"/>
      <c r="F89" s="32" t="n"/>
      <c r="G89" s="32" t="n"/>
      <c r="H89" s="32" t="n"/>
    </row>
    <row r="90">
      <c r="A90" s="32" t="n"/>
      <c r="B90" s="32" t="n"/>
      <c r="C90" s="32" t="n"/>
      <c r="D90" s="32" t="n"/>
      <c r="E90" s="32" t="n"/>
      <c r="F90" s="32" t="n"/>
      <c r="G90" s="32" t="n"/>
      <c r="H90" s="32" t="n"/>
    </row>
    <row r="91">
      <c r="A91" s="32" t="n"/>
      <c r="B91" s="32" t="n"/>
      <c r="C91" s="32" t="n"/>
      <c r="D91" s="32" t="n"/>
      <c r="E91" s="32" t="n"/>
      <c r="F91" s="32" t="n"/>
      <c r="G91" s="32" t="n"/>
      <c r="H91" s="32" t="n"/>
    </row>
    <row r="92">
      <c r="A92" s="32" t="n"/>
      <c r="B92" s="32" t="n"/>
      <c r="C92" s="32" t="n"/>
      <c r="D92" s="32" t="n"/>
      <c r="E92" s="32" t="n"/>
      <c r="F92" s="32" t="n"/>
      <c r="G92" s="32" t="n"/>
      <c r="H92" s="32" t="n"/>
    </row>
    <row r="93">
      <c r="A93" s="32" t="n"/>
      <c r="B93" s="32" t="n"/>
      <c r="C93" s="32" t="n"/>
      <c r="D93" s="32" t="n"/>
      <c r="E93" s="32" t="n"/>
      <c r="F93" s="32" t="n"/>
      <c r="G93" s="32" t="n"/>
      <c r="H93" s="32" t="n"/>
    </row>
    <row r="94">
      <c r="A94" s="32" t="n"/>
      <c r="B94" s="32" t="n"/>
      <c r="C94" s="32" t="n"/>
      <c r="D94" s="32" t="n"/>
      <c r="E94" s="32" t="n"/>
      <c r="F94" s="32" t="n"/>
      <c r="G94" s="32" t="n"/>
      <c r="H94" s="32" t="n"/>
    </row>
    <row r="95">
      <c r="A95" s="32" t="n"/>
      <c r="B95" s="32" t="n"/>
      <c r="C95" s="32" t="n"/>
      <c r="D95" s="32" t="n"/>
      <c r="E95" s="32" t="n"/>
      <c r="F95" s="32" t="n"/>
      <c r="G95" s="32" t="n"/>
      <c r="H95" s="32" t="n"/>
    </row>
    <row r="96">
      <c r="A96" s="32" t="n"/>
      <c r="B96" s="32" t="n"/>
      <c r="C96" s="32" t="n"/>
      <c r="D96" s="32" t="n"/>
      <c r="E96" s="32" t="n"/>
      <c r="F96" s="32" t="n"/>
      <c r="G96" s="32" t="n"/>
      <c r="H96" s="32" t="n"/>
    </row>
    <row r="97">
      <c r="A97" s="32" t="n"/>
      <c r="B97" s="32" t="n"/>
      <c r="C97" s="32" t="n"/>
      <c r="D97" s="32" t="n"/>
      <c r="E97" s="32" t="n"/>
      <c r="F97" s="32" t="n"/>
      <c r="G97" s="32" t="n"/>
      <c r="H97" s="32" t="n"/>
    </row>
    <row r="98">
      <c r="A98" s="32" t="n"/>
      <c r="B98" s="32" t="n"/>
      <c r="C98" s="32" t="n"/>
      <c r="D98" s="32" t="n"/>
      <c r="E98" s="32" t="n"/>
      <c r="F98" s="32" t="n"/>
      <c r="G98" s="32" t="n"/>
      <c r="H98" s="32" t="n"/>
    </row>
    <row r="99">
      <c r="A99" s="32" t="n"/>
      <c r="B99" s="32" t="n"/>
      <c r="C99" s="32" t="n"/>
      <c r="D99" s="32" t="n"/>
      <c r="E99" s="32" t="n"/>
      <c r="F99" s="32" t="n"/>
      <c r="G99" s="32" t="n"/>
      <c r="H99" s="32" t="n"/>
    </row>
    <row r="100">
      <c r="A100" s="32" t="n"/>
      <c r="B100" s="32" t="n"/>
      <c r="C100" s="32" t="n"/>
      <c r="D100" s="32" t="n"/>
      <c r="E100" s="32" t="n"/>
      <c r="F100" s="32" t="n"/>
      <c r="G100" s="32" t="n"/>
      <c r="H100" s="32" t="n"/>
    </row>
    <row r="101">
      <c r="A101" s="32" t="n"/>
      <c r="B101" s="32" t="n"/>
      <c r="C101" s="32" t="n"/>
      <c r="D101" s="32" t="n"/>
      <c r="E101" s="32" t="n"/>
      <c r="F101" s="32" t="n"/>
      <c r="G101" s="32" t="n"/>
      <c r="H101" s="32" t="n"/>
    </row>
    <row r="102">
      <c r="A102" s="32" t="n"/>
      <c r="B102" s="32" t="n"/>
      <c r="C102" s="32" t="n"/>
      <c r="D102" s="32" t="n"/>
      <c r="E102" s="32" t="n"/>
      <c r="F102" s="32" t="n"/>
      <c r="G102" s="32" t="n"/>
      <c r="H102" s="32" t="n"/>
    </row>
    <row r="103">
      <c r="A103" s="32" t="n"/>
      <c r="B103" s="32" t="n"/>
      <c r="C103" s="32" t="n"/>
      <c r="D103" s="32" t="n"/>
      <c r="E103" s="32" t="n"/>
      <c r="F103" s="32" t="n"/>
      <c r="G103" s="32" t="n"/>
      <c r="H103" s="32" t="n"/>
    </row>
    <row r="104">
      <c r="A104" s="32" t="n"/>
      <c r="B104" s="32" t="n"/>
      <c r="C104" s="32" t="n"/>
      <c r="D104" s="32" t="n"/>
      <c r="E104" s="32" t="n"/>
      <c r="F104" s="32" t="n"/>
      <c r="G104" s="32" t="n"/>
      <c r="H104" s="32" t="n"/>
    </row>
    <row r="105">
      <c r="A105" s="32" t="n"/>
      <c r="B105" s="32" t="n"/>
      <c r="C105" s="32" t="n"/>
      <c r="D105" s="32" t="n"/>
      <c r="E105" s="32" t="n"/>
      <c r="F105" s="32" t="n"/>
      <c r="G105" s="32" t="n"/>
      <c r="H105" s="32" t="n"/>
    </row>
    <row r="106">
      <c r="A106" s="32" t="n"/>
      <c r="B106" s="32" t="n"/>
      <c r="C106" s="32" t="n"/>
      <c r="D106" s="32" t="n"/>
      <c r="E106" s="32" t="n"/>
      <c r="F106" s="32" t="n"/>
      <c r="G106" s="32" t="n"/>
      <c r="H106" s="32" t="n"/>
    </row>
    <row r="107">
      <c r="A107" s="32" t="n"/>
      <c r="B107" s="32" t="n"/>
      <c r="C107" s="32" t="n"/>
      <c r="D107" s="32" t="n"/>
      <c r="E107" s="32" t="n"/>
      <c r="F107" s="32" t="n"/>
      <c r="G107" s="32" t="n"/>
      <c r="H107" s="32" t="n"/>
    </row>
    <row r="108">
      <c r="A108" s="32" t="n"/>
      <c r="B108" s="32" t="n"/>
      <c r="C108" s="32" t="n"/>
      <c r="D108" s="32" t="n"/>
      <c r="E108" s="32" t="n"/>
      <c r="F108" s="32" t="n"/>
      <c r="G108" s="32" t="n"/>
      <c r="H108" s="32" t="n"/>
    </row>
    <row r="109">
      <c r="A109" s="32" t="n"/>
      <c r="B109" s="32" t="n"/>
      <c r="C109" s="32" t="n"/>
      <c r="D109" s="32" t="n"/>
      <c r="E109" s="32" t="n"/>
      <c r="F109" s="32" t="n"/>
      <c r="G109" s="32" t="n"/>
      <c r="H109" s="32" t="n"/>
    </row>
    <row r="110">
      <c r="A110" s="32" t="n"/>
      <c r="B110" s="32" t="n"/>
      <c r="C110" s="32" t="n"/>
      <c r="D110" s="32" t="n"/>
      <c r="E110" s="32" t="n"/>
      <c r="F110" s="32" t="n"/>
      <c r="G110" s="32" t="n"/>
      <c r="H110" s="32" t="n"/>
    </row>
    <row r="111">
      <c r="A111" s="32" t="n"/>
      <c r="B111" s="32" t="n"/>
      <c r="C111" s="32" t="n"/>
      <c r="D111" s="32" t="n"/>
      <c r="E111" s="32" t="n"/>
      <c r="F111" s="32" t="n"/>
      <c r="G111" s="32" t="n"/>
      <c r="H111" s="32" t="n"/>
    </row>
    <row r="112">
      <c r="A112" s="32" t="n"/>
      <c r="B112" s="32" t="n"/>
      <c r="C112" s="32" t="n"/>
      <c r="D112" s="32" t="n"/>
      <c r="E112" s="32" t="n"/>
      <c r="F112" s="32" t="n"/>
      <c r="G112" s="32" t="n"/>
      <c r="H112" s="32" t="n"/>
    </row>
    <row r="113">
      <c r="A113" s="32" t="n"/>
      <c r="B113" s="32" t="n"/>
      <c r="C113" s="32" t="n"/>
      <c r="D113" s="32" t="n"/>
      <c r="E113" s="32" t="n"/>
      <c r="F113" s="32" t="n"/>
      <c r="G113" s="32" t="n"/>
      <c r="H113" s="32" t="n"/>
    </row>
    <row r="114">
      <c r="A114" s="32" t="n"/>
      <c r="B114" s="32" t="n"/>
      <c r="C114" s="32" t="n"/>
      <c r="D114" s="32" t="n"/>
      <c r="E114" s="32" t="n"/>
      <c r="F114" s="32" t="n"/>
      <c r="G114" s="32" t="n"/>
      <c r="H114" s="32" t="n"/>
    </row>
    <row r="115">
      <c r="A115" s="32" t="n"/>
      <c r="B115" s="32" t="n"/>
      <c r="C115" s="32" t="n"/>
      <c r="D115" s="32" t="n"/>
      <c r="E115" s="32" t="n"/>
      <c r="F115" s="32" t="n"/>
      <c r="G115" s="32" t="n"/>
      <c r="H115" s="32" t="n"/>
    </row>
    <row r="116">
      <c r="A116" s="32" t="n"/>
      <c r="B116" s="32" t="n"/>
      <c r="C116" s="32" t="n"/>
      <c r="D116" s="32" t="n"/>
      <c r="E116" s="32" t="n"/>
      <c r="F116" s="32" t="n"/>
      <c r="G116" s="32" t="n"/>
      <c r="H116" s="32" t="n"/>
    </row>
    <row r="117">
      <c r="A117" s="32" t="n"/>
      <c r="B117" s="32" t="n"/>
      <c r="C117" s="32" t="n"/>
      <c r="D117" s="32" t="n"/>
      <c r="E117" s="32" t="n"/>
      <c r="F117" s="32" t="n"/>
      <c r="G117" s="32" t="n"/>
      <c r="H117" s="32" t="n"/>
    </row>
    <row r="118">
      <c r="A118" s="32" t="n"/>
      <c r="B118" s="32" t="n"/>
      <c r="C118" s="32" t="n"/>
      <c r="D118" s="32" t="n"/>
      <c r="E118" s="32" t="n"/>
      <c r="F118" s="32" t="n"/>
      <c r="G118" s="32" t="n"/>
      <c r="H118" s="32" t="n"/>
    </row>
    <row r="119">
      <c r="A119" s="32" t="n"/>
      <c r="B119" s="32" t="n"/>
      <c r="C119" s="32" t="n"/>
      <c r="D119" s="32" t="n"/>
      <c r="E119" s="32" t="n"/>
      <c r="F119" s="32" t="n"/>
      <c r="G119" s="32" t="n"/>
      <c r="H119" s="32" t="n"/>
    </row>
  </sheetData>
  <mergeCells count="19">
    <mergeCell ref="A30:H30"/>
    <mergeCell ref="A83:H83"/>
    <mergeCell ref="D10:H10"/>
    <mergeCell ref="A82:H82"/>
    <mergeCell ref="D6:H6"/>
    <mergeCell ref="A87:H87"/>
    <mergeCell ref="A16:H16"/>
    <mergeCell ref="D11:H11"/>
    <mergeCell ref="D13:H13"/>
    <mergeCell ref="A84:H84"/>
    <mergeCell ref="A3:H3"/>
    <mergeCell ref="D7:H7"/>
    <mergeCell ref="A86:H86"/>
    <mergeCell ref="A2:H2"/>
    <mergeCell ref="A85:H85"/>
    <mergeCell ref="D9:H9"/>
    <mergeCell ref="D12:H12"/>
    <mergeCell ref="D8:H8"/>
    <mergeCell ref="D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2026-09-23T06:58:50Z</dcterms:created>
  <dcterms:modified xmlns:dcterms="http://purl.org/dc/terms/" xmlns:xsi="http://www.w3.org/2001/XMLSchema-instance" xsi:type="dcterms:W3CDTF">2026-09-23T06:58:50Z</dcterms:modified>
</cp:coreProperties>
</file>